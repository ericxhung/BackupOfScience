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1\Documents\科資\Excel\"/>
    </mc:Choice>
  </mc:AlternateContent>
  <xr:revisionPtr revIDLastSave="0" documentId="13_ncr:1_{AA9AC210-9866-405B-AE97-5599BF8A4353}" xr6:coauthVersionLast="47" xr6:coauthVersionMax="47" xr10:uidLastSave="{00000000-0000-0000-0000-000000000000}"/>
  <bookViews>
    <workbookView xWindow="-120" yWindow="-120" windowWidth="20730" windowHeight="11160" activeTab="1" xr2:uid="{5C6957B1-EE02-4E04-A821-FE28D32AD334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<sst xmlns="http://schemas.openxmlformats.org/spreadsheetml/2006/main" count="19" uniqueCount="12">
  <si>
    <t>項目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</si>
  <si>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</si>
  <si>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</si>
  <si>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</si>
  <si>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</si>
  <si>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</si>
  <si>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</si>
  <si>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搖晃前</t>
    <phoneticPr fontId="1" type="noConversion"/>
  </si>
  <si>
    <t>電阻值</t>
    <phoneticPr fontId="1" type="noConversion"/>
  </si>
  <si>
    <t>搖晃後</t>
    <phoneticPr fontId="1" type="noConversion"/>
  </si>
  <si>
    <t>標準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</si>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</sst>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29602528"/>
        <c:axId val="629587136"/>
      </c:scatterChart>
      <c:valAx>
        <c:axId val="62960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9587136"/>
        <c:crosses val="autoZero"/>
        <c:crossBetween val="midCat"/>
      </c:valAx>
      <c:valAx>
        <c:axId val="6295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9602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(工作表1!$D$2,工作表1!$G$2)</c:f>
              <c:numCache>
                <c:formatCode>General</c:formatCode>
                <c:ptCount val="2"/>
                <c:pt idx="0">
                  <c:v>21.64883833494676</c:v>
                </c:pt>
                <c:pt idx="1">
                  <c:v>18.721974855945518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A-440B-865B-E49827D7E1FF}"/>
            </c:ext>
          </c:extLst>
        </c:ser>
        <c:ser>
          <c:idx val="1"/>
          <c:order val="1"/>
          <c:tx>
            <c:v>A3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(工作表1!$D$3,工作表1!$G$3)</c:f>
              <c:numCache>
                <c:formatCode>General</c:formatCode>
                <c:ptCount val="2"/>
                <c:pt idx="0">
                  <c:v>25.38807276364318</c:v>
                </c:pt>
                <c:pt idx="1">
                  <c:v>23.329751304881793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A-440B-865B-E49827D7E1FF}"/>
            </c:ext>
          </c:extLst>
        </c:ser>
        <c:ser>
          <c:idx val="2"/>
          <c:order val="2"/>
          <c:tx>
            <c:v>A4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(工作表1!$D$4,工作表1!$G$4)</c:f>
              <c:numCache>
                <c:formatCode>General</c:formatCode>
                <c:ptCount val="2"/>
                <c:pt idx="0">
                  <c:v>23.646551724137932</c:v>
                </c:pt>
                <c:pt idx="1">
                  <c:v>21.139974703366864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0A-440B-865B-E49827D7E1FF}"/>
            </c:ext>
          </c:extLst>
        </c:ser>
        <c:ser>
          <c:idx val="3"/>
          <c:order val="3"/>
          <c:tx>
            <c:v>B2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(工作表1!$D$5,工作表1!$G$5)</c:f>
              <c:numCache>
                <c:formatCode>General</c:formatCode>
                <c:ptCount val="2"/>
                <c:pt idx="0">
                  <c:v>26.22344645218158</c:v>
                </c:pt>
                <c:pt idx="1">
                  <c:v>23.301675977653623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0A-440B-865B-E49827D7E1FF}"/>
            </c:ext>
          </c:extLst>
        </c:ser>
        <c:ser>
          <c:idx val="4"/>
          <c:order val="4"/>
          <c:tx>
            <c:v>B3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(工作表1!$D$6,工作表1!$G$6)</c:f>
              <c:numCache>
                <c:formatCode>General</c:formatCode>
                <c:ptCount val="2"/>
                <c:pt idx="0">
                  <c:v>29.290735237110741</c:v>
                </c:pt>
                <c:pt idx="1">
                  <c:v>27.228346456692918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0A-440B-865B-E49827D7E1FF}"/>
            </c:ext>
          </c:extLst>
        </c:ser>
        <c:ser>
          <c:idx val="5"/>
          <c:order val="5"/>
          <c:tx>
            <c:v>B4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(工作表1!$D$7,工作表1!$G$7)</c:f>
              <c:numCache>
                <c:formatCode>General</c:formatCode>
                <c:ptCount val="2"/>
                <c:pt idx="0">
                  <c:v>28.626060138781796</c:v>
                </c:pt>
                <c:pt idx="1">
                  <c:v>27.085875562884503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0A-440B-865B-E49827D7E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585472"/>
        <c:axId val="629604192"/>
      </c:lineChart>
      <c:catAx>
        <c:axId val="629585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9604192"/>
        <c:crosses val="autoZero"/>
        <c:auto val="1"/>
        <c:lblAlgn val="ctr"/>
        <c:lblOffset val="100"/>
        <c:noMultiLvlLbl val="0"/>
      </c:catAx>
      <c:valAx>
        <c:axId val="629604192"/>
        <c:scaling>
          <c:orientation val="minMax"/>
          <c:max val="30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9585472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電阻與日期關係圖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工作表2!$B$1:$E$1</c:f>
              <c:numCache>
                <c:formatCode>m"月"d"日"</c:formatCode>
                <c:ptCount val="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46282</c:v>
                </c:pt>
              </c:numCache>
            </c:numRef>
          </c:cat>
          <c:val>
            <c:numRef>
              <c:f>工作表2!$B$2:$E$2</c:f>
              <c:numCache>
                <c:formatCode>General</c:formatCode>
                <c:ptCount val="4"/>
                <c:pt idx="0">
                  <c:v>8.9924812030075181</c:v>
                </c:pt>
                <c:pt idx="1">
                  <c:v>18.721974855945518</c:v>
                </c:pt>
                <c:pt idx="2">
                  <c:v>15.941987363584147</c:v>
                </c:pt>
                <c:pt idx="3">
                  <c:v>20.495299119707759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CB-4F3D-B5A7-107F6256E5BF}"/>
            </c:ext>
          </c:extLst>
        </c:ser>
        <c:ser>
          <c:idx val="1"/>
          <c:order val="1"/>
          <c:tx>
            <c:v>A3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工作表2!$B$1:$E$1</c:f>
              <c:numCache>
                <c:formatCode>m"月"d"日"</c:formatCode>
                <c:ptCount val="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46282</c:v>
                </c:pt>
              </c:numCache>
            </c:numRef>
          </c:cat>
          <c:val>
            <c:numRef>
              <c:f>工作表2!$B$3:$E$3</c:f>
              <c:numCache>
                <c:formatCode>General</c:formatCode>
                <c:ptCount val="4"/>
                <c:pt idx="0">
                  <c:v>18.624352331606211</c:v>
                </c:pt>
                <c:pt idx="1">
                  <c:v>23.329751304881793</c:v>
                </c:pt>
                <c:pt idx="2">
                  <c:v>20.29535537091278</c:v>
                </c:pt>
                <c:pt idx="3">
                  <c:v>24.449866683202082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CB-4F3D-B5A7-107F6256E5BF}"/>
            </c:ext>
          </c:extLst>
        </c:ser>
        <c:ser>
          <c:idx val="2"/>
          <c:order val="2"/>
          <c:tx>
            <c:v>A4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工作表2!$B$1:$E$1</c:f>
              <c:numCache>
                <c:formatCode>m"月"d"日"</c:formatCode>
                <c:ptCount val="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46282</c:v>
                </c:pt>
              </c:numCache>
            </c:numRef>
          </c:cat>
          <c:val>
            <c:numRef>
              <c:f>工作表2!$B$4:$E$4</c:f>
              <c:numCache>
                <c:formatCode>General</c:formatCode>
                <c:ptCount val="4"/>
                <c:pt idx="0">
                  <c:v>22.396674584323033</c:v>
                </c:pt>
                <c:pt idx="1">
                  <c:v>21.139974703366864</c:v>
                </c:pt>
                <c:pt idx="2">
                  <c:v>21.363307181653592</c:v>
                </c:pt>
                <c:pt idx="3">
                  <c:v>23.816230883078447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CB-4F3D-B5A7-107F6256E5BF}"/>
            </c:ext>
          </c:extLst>
        </c:ser>
        <c:ser>
          <c:idx val="3"/>
          <c:order val="3"/>
          <c:tx>
            <c:v>B2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工作表2!$B$1:$E$1</c:f>
              <c:numCache>
                <c:formatCode>m"月"d"日"</c:formatCode>
                <c:ptCount val="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46282</c:v>
                </c:pt>
              </c:numCache>
            </c:numRef>
          </c:cat>
          <c:val>
            <c:numRef>
              <c:f>工作表2!$B$5:$E$5</c:f>
              <c:numCache>
                <c:formatCode>General</c:formatCode>
                <c:ptCount val="4"/>
                <c:pt idx="0">
                  <c:v>15.440658586782526</c:v>
                </c:pt>
                <c:pt idx="1">
                  <c:v>23.301675977653623</c:v>
                </c:pt>
                <c:pt idx="2">
                  <c:v>21.234613297968526</c:v>
                </c:pt>
                <c:pt idx="3">
                  <c:v>26.38604123321355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CB-4F3D-B5A7-107F6256E5BF}"/>
            </c:ext>
          </c:extLst>
        </c:ser>
        <c:ser>
          <c:idx val="4"/>
          <c:order val="4"/>
          <c:tx>
            <c:v>B3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工作表2!$B$1:$E$1</c:f>
              <c:numCache>
                <c:formatCode>m"月"d"日"</c:formatCode>
                <c:ptCount val="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46282</c:v>
                </c:pt>
              </c:numCache>
            </c:numRef>
          </c:cat>
          <c:val>
            <c:numRef>
              <c:f>工作表2!$B$6:$E$6</c:f>
              <c:numCache>
                <c:formatCode>General</c:formatCode>
                <c:ptCount val="4"/>
                <c:pt idx="0">
                  <c:v>22.203623761172246</c:v>
                </c:pt>
                <c:pt idx="1">
                  <c:v>27.228346456692918</c:v>
                </c:pt>
                <c:pt idx="2">
                  <c:v>28.649122807017552</c:v>
                </c:pt>
                <c:pt idx="3">
                  <c:v>29.711877593360988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CB-4F3D-B5A7-107F6256E5BF}"/>
            </c:ext>
          </c:extLst>
        </c:ser>
        <c:ser>
          <c:idx val="5"/>
          <c:order val="5"/>
          <c:tx>
            <c:v>B4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工作表2!$B$1:$E$1</c:f>
              <c:numCache>
                <c:formatCode>m"月"d"日"</c:formatCode>
                <c:ptCount val="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46282</c:v>
                </c:pt>
              </c:numCache>
            </c:numRef>
          </c:cat>
          <c:val>
            <c:numRef>
              <c:f>工作表2!$B$7:$E$7</c:f>
              <c:numCache>
                <c:formatCode>General</c:formatCode>
                <c:ptCount val="4"/>
                <c:pt idx="0">
                  <c:v>26.208687440982057</c:v>
                </c:pt>
                <c:pt idx="1">
                  <c:v>27.085875562884503</c:v>
                </c:pt>
                <c:pt idx="2">
                  <c:v>27.725927815329673</c:v>
                </c:pt>
                <c:pt idx="3">
                  <c:v>28.181922929202404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CB-4F3D-B5A7-107F6256E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387407"/>
        <c:axId val="574388239"/>
      </c:lineChart>
      <c:catAx>
        <c:axId val="57438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日期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m&quot;月&quot;d&quot;日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4388239"/>
        <c:crosses val="autoZero"/>
        <c:auto val="0"/>
        <c:lblAlgn val="ctr"/>
        <c:lblOffset val="100"/>
        <c:noMultiLvlLbl val="0"/>
      </c:catAx>
      <c:valAx>
        <c:axId val="57438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電阻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4387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638175</xdr:colOff>
      <xdr:row>9</xdr:row>
      <xdr:rowOff>47625</xdr:rowOff>
    </xdr:from>
    <xdr:to>
      <xdr:col>13</xdr:col>
      <xdr:colOff>409575</xdr:colOff>
      <xdr:row>22</xdr:row>
      <xdr:rowOff>66675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B2B051B-5ED2-4FF9-9E7A-C8F24E0FC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0</xdr:row>
      <xdr:rowOff>66675</xdr:rowOff>
    </xdr:from>
    <xdr:to>
      <xdr:col>13</xdr:col>
      <xdr:colOff>676275</xdr:colOff>
      <xdr:row>13</xdr:row>
      <xdr:rowOff>85725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E3A5A135-1CD1-43B6-A1FF-80463CC2E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2</xdr:row>
      <xdr:rowOff>19050</xdr:rowOff>
    </xdr:from>
    <xdr:to>
      <xdr:col>14</xdr:col>
      <xdr:colOff>390525</xdr:colOff>
      <xdr:row>20</xdr:row>
      <xdr:rowOff>161926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BC13CBE-C408-4EC9-8B31-FCFD188B4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FC5B-34AB-4CB6-A717-DF8E289EEF72}">
  <dimension ref="A1:G7"/>
  <sheetViews>
    <sheetView workbookViewId="0"/>
  </sheetViews>
  <sheetFormatPr defaultRowHeight="16.5" x14ac:dyDescent="0.25"/>
  <sheetData>
    <row r="1" spans="1:7" x14ac:dyDescent="0.25">
      <c r="A1" t="s">
        <v>0</v>
      </c>
      <c r="C1" t="s">
        <v>7</v>
      </c>
      <c r="D1" t="s">
        <v>8</v>
      </c>
      <c r="F1" t="s">
        <v>9</v>
      </c>
    </row>
    <row r="2" spans="1:7" x14ac:dyDescent="0.25">
      <c r="A2" t="s">
        <v>1</v>
      </c>
      <c r="B2">
        <v>80</v>
      </c>
      <c r="C2" s="1">
        <v>826.4</v>
      </c>
      <c r="D2">
        <f>91*(1023-C2)/C2</f>
        <v>21.64883833494676</v>
      </c>
      <c r="F2">
        <v>848.44444444444446</v>
      </c>
      <c r="G2">
        <f>91*(1023-F2)/F2</f>
        <v>18.721974855945518</v>
      </c>
    </row>
    <row r="3" spans="1:7" x14ac:dyDescent="0.25">
      <c r="A3" t="s">
        <v>2</v>
      </c>
      <c r="B3">
        <v>60</v>
      </c>
      <c r="C3">
        <v>799.85</v>
      </c>
      <c r="D3">
        <f t="shared" ref="D3:D7" si="0">91*(1023-C3)/C3</f>
        <v>25.38807276364318</v>
      </c>
      <c r="F3">
        <v>814.25</v>
      </c>
      <c r="G3">
        <f t="shared" ref="G3:G7" si="1">91*(1023-F3)/F3</f>
        <v>23.329751304881793</v>
      </c>
    </row>
    <row r="4" spans="1:7" x14ac:dyDescent="0.25">
      <c r="A4" t="s">
        <v>3</v>
      </c>
      <c r="B4">
        <v>40</v>
      </c>
      <c r="C4">
        <v>812</v>
      </c>
      <c r="D4">
        <f t="shared" si="0"/>
        <v>23.646551724137932</v>
      </c>
      <c r="F4" s="1">
        <v>830.15</v>
      </c>
      <c r="G4">
        <f t="shared" si="1"/>
        <v>21.139974703366864</v>
      </c>
    </row>
    <row r="5" spans="1:7" x14ac:dyDescent="0.25">
      <c r="A5" t="s">
        <v>4</v>
      </c>
      <c r="B5">
        <v>80</v>
      </c>
      <c r="C5">
        <v>794.15</v>
      </c>
      <c r="D5">
        <f t="shared" si="0"/>
        <v>26.22344645218158</v>
      </c>
      <c r="F5">
        <v>814.45</v>
      </c>
      <c r="G5">
        <f t="shared" si="1"/>
        <v>23.301675977653623</v>
      </c>
    </row>
    <row r="6" spans="1:7" x14ac:dyDescent="0.25">
      <c r="A6" t="s">
        <v>5</v>
      </c>
      <c r="B6">
        <v>60</v>
      </c>
      <c r="C6">
        <v>773.9</v>
      </c>
      <c r="D6">
        <f t="shared" si="0"/>
        <v>29.290735237110741</v>
      </c>
      <c r="F6">
        <v>787.4</v>
      </c>
      <c r="G6">
        <f t="shared" si="1"/>
        <v>27.228346456692918</v>
      </c>
    </row>
    <row r="7" spans="1:7" x14ac:dyDescent="0.25">
      <c r="A7" t="s">
        <v>6</v>
      </c>
      <c r="B7">
        <v>40</v>
      </c>
      <c r="C7">
        <v>778.2</v>
      </c>
      <c r="D7">
        <f t="shared" si="0"/>
        <v>28.626060138781796</v>
      </c>
      <c r="F7">
        <v>788.35</v>
      </c>
      <c r="G7">
        <f t="shared" si="1"/>
        <v>27.085875562884503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27EB-5411-4819-9A84-BAF50B5672AA}">
  <dimension ref="A1:E8"/>
  <sheetViews>
    <sheetView tabSelected="1" workbookViewId="0">
      <selection activeCell="H11" sqref="H11"/>
    </sheetView>
  </sheetViews>
  <sheetFormatPr defaultRowHeight="16.5" x14ac:dyDescent="0.25"/>
  <sheetData>
    <row r="1" spans="1:5" x14ac:dyDescent="0.25">
      <c r="B1" s="2">
        <v>46266</v>
      </c>
      <c r="C1" s="2">
        <v>46268</v>
      </c>
      <c r="D1" s="2">
        <v>46275</v>
      </c>
      <c r="E1" s="2">
        <v>46282</v>
      </c>
    </row>
    <row r="2" spans="1:5" x14ac:dyDescent="0.25">
      <c r="A2" t="s">
        <v>1</v>
      </c>
      <c r="B2">
        <v>8.9924812030075181</v>
      </c>
      <c r="C2">
        <v>18.721974855945518</v>
      </c>
      <c r="D2">
        <v>15.941987363584147</v>
      </c>
      <c r="E2">
        <v>20.495299119707759</v>
      </c>
    </row>
    <row r="3" spans="1:5" x14ac:dyDescent="0.25">
      <c r="A3" t="s">
        <v>2</v>
      </c>
      <c r="B3">
        <v>18.624352331606211</v>
      </c>
      <c r="C3">
        <v>23.329751304881793</v>
      </c>
      <c r="D3">
        <v>20.29535537091278</v>
      </c>
      <c r="E3">
        <v>24.449866683202082</v>
      </c>
    </row>
    <row r="4" spans="1:5" x14ac:dyDescent="0.25">
      <c r="A4" t="s">
        <v>3</v>
      </c>
      <c r="B4">
        <v>22.396674584323033</v>
      </c>
      <c r="C4">
        <v>21.139974703366864</v>
      </c>
      <c r="D4">
        <v>21.363307181653592</v>
      </c>
      <c r="E4">
        <v>23.816230883078447</v>
      </c>
    </row>
    <row r="5" spans="1:5" x14ac:dyDescent="0.25">
      <c r="A5" t="s">
        <v>4</v>
      </c>
      <c r="B5">
        <v>15.440658586782526</v>
      </c>
      <c r="C5">
        <v>23.301675977653623</v>
      </c>
      <c r="D5">
        <v>21.234613297968526</v>
      </c>
      <c r="E5">
        <v>26.38604123321355</v>
      </c>
    </row>
    <row r="6" spans="1:5" x14ac:dyDescent="0.25">
      <c r="A6" t="s">
        <v>5</v>
      </c>
      <c r="B6">
        <v>22.203623761172246</v>
      </c>
      <c r="C6">
        <v>27.228346456692918</v>
      </c>
      <c r="D6">
        <v>28.649122807017552</v>
      </c>
      <c r="E6">
        <v>29.711877593360988</v>
      </c>
    </row>
    <row r="7" spans="1:5" x14ac:dyDescent="0.25">
      <c r="A7" t="s">
        <v>6</v>
      </c>
      <c r="B7">
        <v>26.208687440982057</v>
      </c>
      <c r="C7">
        <v>27.085875562884503</v>
      </c>
      <c r="D7">
        <v>27.725927815329673</v>
      </c>
      <c r="E7">
        <v>28.181922929202404</v>
      </c>
    </row>
    <row r="8" spans="1:5" x14ac:dyDescent="0.25">
      <c r="A8" t="s">
        <v>10</v>
      </c>
      <c r="B8" t="s">
        <v>11</v>
      </c>
      <c r="C8">
        <v>20.528692943572533</v>
      </c>
      <c r="D8">
        <v>18.09762100082035</v>
      </c>
      <c r="E8" t="s">
        <v>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SC1</dc:creator>
  <cp:lastModifiedBy>SC1</cp:lastModifiedBy>
  <dcterms:created xsi:type="dcterms:W3CDTF">2026-09-03T05:41:45Z</dcterms:created>
  <dcterms:modified xsi:type="dcterms:W3CDTF">2026-09-17T07:01:25Z</dcterms:modified>
</cp:coreProperties>
</file>