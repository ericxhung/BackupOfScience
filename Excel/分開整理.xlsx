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1\Documents\科資\Excel\"/>
    </mc:Choice>
  </mc:AlternateContent>
  <xr:revisionPtr revIDLastSave="0" documentId="13_ncr:1_{F20BE826-AA4C-4E8D-9E49-325DD37E4FE8}" xr6:coauthVersionLast="47" xr6:coauthVersionMax="47" xr10:uidLastSave="{00000000-0000-0000-0000-000000000000}"/>
  <bookViews>
    <workbookView xWindow="-120" yWindow="-120" windowWidth="20730" windowHeight="11160" activeTab="4" xr2:uid="{691F0AA3-4F53-44B7-A2AB-7315155D3932}"/>
  </bookViews>
  <sheets>
    <sheet name="寶特瓶" sheetId="1" r:id="rId1"/>
    <sheet name="紙杯" sheetId="3" r:id="rId2"/>
    <sheet name="保麗龍" sheetId="4" r:id="rId3"/>
    <sheet name="養樂多" sheetId="5" r:id="rId4"/>
    <sheet name="去離子養樂多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2" i="6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<sst xmlns="http://schemas.openxmlformats.org/spreadsheetml/2006/main" count="38" uniqueCount="37">
  <si>
    <t>A2</t>
    <phoneticPr fontId="1" type="noConversion"/>
  </si>
  <si>
    <t>A3</t>
    <phoneticPr fontId="1" type="noConversion"/>
  </si>
  <si>
    <t>A4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</si>
  <si>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</si>
  <si>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</si>
  <si>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</si>
  <si>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紙杯60</t>
    <phoneticPr fontId="1" type="noConversion"/>
  </si>
  <si>
    <t>紙杯40</t>
    <phoneticPr fontId="1" type="noConversion"/>
  </si>
  <si>
    <t>保大80</t>
    <phoneticPr fontId="1" type="noConversion"/>
  </si>
  <si>
    <t>保大60</t>
    <phoneticPr fontId="1" type="noConversion"/>
  </si>
  <si>
    <t>保大40</t>
  </si>
  <si>
    <t>保小80</t>
    <phoneticPr fontId="1" type="noConversion"/>
  </si>
  <si>
    <t>保小60</t>
    <phoneticPr fontId="1" type="noConversion"/>
  </si>
  <si>
    <t>保小40</t>
  </si>
  <si>
    <t>養樂多空白值</t>
    <phoneticPr fontId="1" type="noConversion"/>
  </si>
  <si>
    <t>養樂多30</t>
    <phoneticPr fontId="1" type="noConversion"/>
  </si>
  <si>
    <t>養樂多40</t>
    <phoneticPr fontId="1" type="noConversion"/>
  </si>
  <si>
    <t>養樂多50</t>
  </si>
  <si>
    <t>養樂多60</t>
  </si>
  <si>
    <t>養樂多70</t>
  </si>
  <si>
    <t>養樂多80</t>
  </si>
  <si>
    <t>平均(不含9/1)</t>
    <phoneticPr fontId="1" type="noConversion"/>
  </si>
  <si>
    <t>溫度</t>
    <phoneticPr fontId="1" type="noConversion"/>
  </si>
  <si>
    <t xml:space="preserve">去離養樂多30降溫 </t>
    <phoneticPr fontId="1" type="noConversion"/>
  </si>
  <si>
    <t>去離養樂多40降溫</t>
    <phoneticPr fontId="1" type="noConversion"/>
  </si>
  <si>
    <t>去離養樂多50降溫</t>
    <phoneticPr fontId="1" type="noConversion"/>
  </si>
  <si>
    <t>去離養樂多60降溫</t>
    <phoneticPr fontId="1" type="noConversion"/>
  </si>
  <si>
    <t>去離養樂多70降溫</t>
    <phoneticPr fontId="1" type="noConversion"/>
  </si>
  <si>
    <t>去離養樂多80降溫</t>
    <phoneticPr fontId="1" type="noConversion"/>
  </si>
  <si>
    <t xml:space="preserve">去離養樂多30升溫 </t>
    <phoneticPr fontId="1" type="noConversion"/>
  </si>
  <si>
    <t>去離養樂多40升溫</t>
    <phoneticPr fontId="1" type="noConversion"/>
  </si>
  <si>
    <t>去離養樂多50升溫</t>
    <phoneticPr fontId="1" type="noConversion"/>
  </si>
  <si>
    <t>去離養樂多60升溫</t>
    <phoneticPr fontId="1" type="noConversion"/>
  </si>
  <si>
    <t>去離養樂多70升溫</t>
    <phoneticPr fontId="1" type="noConversion"/>
  </si>
  <si>
    <t>去離養樂多80升溫</t>
    <phoneticPr fontId="1" type="noConversion"/>
  </si>
  <si>
    <t>去離水空白</t>
    <phoneticPr fontId="1" type="noConversion"/>
  </si>
  <si>
    <t>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</si>
</sst>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寶特瓶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寶特瓶!$A$2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寶特瓶!$D$2:$Q$2</c:f>
              <c:numCache>
                <c:formatCode>General</c:formatCode>
                <c:ptCount val="14"/>
                <c:pt idx="0">
                  <c:v>8.9924812030075181</c:v>
                </c:pt>
                <c:pt idx="1">
                  <c:v>18.721974855945518</c:v>
                </c:pt>
                <c:pt idx="2">
                  <c:v>15.941987363584147</c:v>
                </c:pt>
                <c:pt idx="3">
                  <c:v>23.724259042454857</c:v>
                </c:pt>
                <c:pt idx="4">
                  <c:v>20.495299119707759</c:v>
                </c:pt>
                <c:pt idx="5">
                  <c:v>21.970086766579705</c:v>
                </c:pt>
                <c:pt idx="6">
                  <c:v>24.1855976243504</c:v>
                </c:pt>
                <c:pt idx="7">
                  <c:v>22.107344632768367</c:v>
                </c:pt>
                <c:pt idx="8">
                  <c:v>19.666904422253918</c:v>
                </c:pt>
                <c:pt idx="9">
                  <c:v>18.883144475920673</c:v>
                </c:pt>
                <c:pt idx="10">
                  <c:v>18.129593810444881</c:v>
                </c:pt>
                <c:pt idx="11">
                  <c:v>25.7237163814181</c:v>
                </c:pt>
                <c:pt idx="12">
                  <c:v>25.068823639423979</c:v>
                </c:pt>
                <c:pt idx="13">
                  <c:v>22.979797979797979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7-417A-A2DB-B7EFBA549E41}"/>
            </c:ext>
          </c:extLst>
        </c:ser>
        <c:ser>
          <c:idx val="1"/>
          <c:order val="1"/>
          <c:tx>
            <c:strRef>
              <c:f>寶特瓶!$A$3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寶特瓶!$D$3:$Q$3</c:f>
              <c:numCache>
                <c:formatCode>General</c:formatCode>
                <c:ptCount val="14"/>
                <c:pt idx="0">
                  <c:v>18.624352331606211</c:v>
                </c:pt>
                <c:pt idx="1">
                  <c:v>23.329751304881793</c:v>
                </c:pt>
                <c:pt idx="2">
                  <c:v>20.29535537091278</c:v>
                </c:pt>
                <c:pt idx="3">
                  <c:v>25.329896907216494</c:v>
                </c:pt>
                <c:pt idx="4">
                  <c:v>24.449866683202082</c:v>
                </c:pt>
                <c:pt idx="5">
                  <c:v>21.997511682951991</c:v>
                </c:pt>
                <c:pt idx="6">
                  <c:v>25.380797599699967</c:v>
                </c:pt>
                <c:pt idx="7">
                  <c:v>23.979312048415984</c:v>
                </c:pt>
                <c:pt idx="8">
                  <c:v>22.410489127124318</c:v>
                </c:pt>
                <c:pt idx="9">
                  <c:v>26.497160166603567</c:v>
                </c:pt>
                <c:pt idx="10">
                  <c:v>22.98677604995714</c:v>
                </c:pt>
                <c:pt idx="11">
                  <c:v>28.603006359606859</c:v>
                </c:pt>
                <c:pt idx="12">
                  <c:v>24.996511120802449</c:v>
                </c:pt>
                <c:pt idx="13">
                  <c:v>21.812651478429469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7-417A-A2DB-B7EFBA549E41}"/>
            </c:ext>
          </c:extLst>
        </c:ser>
        <c:ser>
          <c:idx val="2"/>
          <c:order val="2"/>
          <c:tx>
            <c:strRef>
              <c:f>寶特瓶!$A$4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寶特瓶!$D$4:$Q$4</c:f>
              <c:numCache>
                <c:formatCode>General</c:formatCode>
                <c:ptCount val="14"/>
                <c:pt idx="0">
                  <c:v>22.396674584323033</c:v>
                </c:pt>
                <c:pt idx="1">
                  <c:v>21.139974703366864</c:v>
                </c:pt>
                <c:pt idx="2">
                  <c:v>21.363307181653592</c:v>
                </c:pt>
                <c:pt idx="3">
                  <c:v>25.112254443405053</c:v>
                </c:pt>
                <c:pt idx="4">
                  <c:v>23.816230883078447</c:v>
                </c:pt>
                <c:pt idx="5">
                  <c:v>23.105534105534101</c:v>
                </c:pt>
                <c:pt idx="6">
                  <c:v>24.816123413784531</c:v>
                </c:pt>
                <c:pt idx="7">
                  <c:v>22.521126760563387</c:v>
                </c:pt>
                <c:pt idx="8">
                  <c:v>19.443706252224466</c:v>
                </c:pt>
                <c:pt idx="9">
                  <c:v>25.054353923829712</c:v>
                </c:pt>
                <c:pt idx="10">
                  <c:v>25.657894736842106</c:v>
                </c:pt>
                <c:pt idx="11">
                  <c:v>27.033472803347273</c:v>
                </c:pt>
                <c:pt idx="12">
                  <c:v>26.90640238110317</c:v>
                </c:pt>
                <c:pt idx="13">
                  <c:v>21.771653543307089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07-417A-A2DB-B7EFBA549E41}"/>
            </c:ext>
          </c:extLst>
        </c:ser>
        <c:ser>
          <c:idx val="3"/>
          <c:order val="3"/>
          <c:tx>
            <c:strRef>
              <c:f>寶特瓶!$A$5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寶特瓶!$D$5:$Q$5</c:f>
              <c:numCache>
                <c:formatCode>General</c:formatCode>
                <c:ptCount val="14"/>
                <c:pt idx="0">
                  <c:v>15.440658586782526</c:v>
                </c:pt>
                <c:pt idx="1">
                  <c:v>23.301675977653623</c:v>
                </c:pt>
                <c:pt idx="2">
                  <c:v>21.234613297968526</c:v>
                </c:pt>
                <c:pt idx="3">
                  <c:v>26.928806688624274</c:v>
                </c:pt>
                <c:pt idx="4">
                  <c:v>26.38604123321355</c:v>
                </c:pt>
                <c:pt idx="5">
                  <c:v>25.914285714285715</c:v>
                </c:pt>
                <c:pt idx="6">
                  <c:v>26.809415337889135</c:v>
                </c:pt>
                <c:pt idx="7">
                  <c:v>26.134948096885815</c:v>
                </c:pt>
                <c:pt idx="8">
                  <c:v>26.149688542125467</c:v>
                </c:pt>
                <c:pt idx="9">
                  <c:v>38.125459463208259</c:v>
                </c:pt>
                <c:pt idx="10">
                  <c:v>28.105680655066525</c:v>
                </c:pt>
                <c:pt idx="11">
                  <c:v>29.876452639096282</c:v>
                </c:pt>
                <c:pt idx="12">
                  <c:v>26.608489672162221</c:v>
                </c:pt>
                <c:pt idx="13">
                  <c:v>25.395348837209308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07-417A-A2DB-B7EFBA549E41}"/>
            </c:ext>
          </c:extLst>
        </c:ser>
        <c:ser>
          <c:idx val="4"/>
          <c:order val="4"/>
          <c:tx>
            <c:strRef>
              <c:f>寶特瓶!$A$6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寶特瓶!$D$6:$Q$6</c:f>
              <c:numCache>
                <c:formatCode>General</c:formatCode>
                <c:ptCount val="14"/>
                <c:pt idx="0">
                  <c:v>22.203623761172246</c:v>
                </c:pt>
                <c:pt idx="1">
                  <c:v>27.228346456692918</c:v>
                </c:pt>
                <c:pt idx="2">
                  <c:v>28.649122807017552</c:v>
                </c:pt>
                <c:pt idx="3">
                  <c:v>32.065635534404116</c:v>
                </c:pt>
                <c:pt idx="4">
                  <c:v>29.711877593360988</c:v>
                </c:pt>
                <c:pt idx="5">
                  <c:v>34.640056683986764</c:v>
                </c:pt>
                <c:pt idx="6">
                  <c:v>31.273592959873906</c:v>
                </c:pt>
                <c:pt idx="7">
                  <c:v>29.06577674598568</c:v>
                </c:pt>
                <c:pt idx="8">
                  <c:v>29.09675546668387</c:v>
                </c:pt>
                <c:pt idx="9">
                  <c:v>65.248741188318235</c:v>
                </c:pt>
                <c:pt idx="10">
                  <c:v>28.143789594931846</c:v>
                </c:pt>
                <c:pt idx="11">
                  <c:v>33.806274299503961</c:v>
                </c:pt>
                <c:pt idx="12">
                  <c:v>25.468159639684728</c:v>
                </c:pt>
                <c:pt idx="13">
                  <c:v>26.66795171585667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07-417A-A2DB-B7EFBA549E41}"/>
            </c:ext>
          </c:extLst>
        </c:ser>
        <c:ser>
          <c:idx val="5"/>
          <c:order val="5"/>
          <c:tx>
            <c:strRef>
              <c:f>寶特瓶!$A$7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寶特瓶!$D$7:$Q$7</c:f>
              <c:numCache>
                <c:formatCode>General</c:formatCode>
                <c:ptCount val="14"/>
                <c:pt idx="0">
                  <c:v>26.208687440982057</c:v>
                </c:pt>
                <c:pt idx="1">
                  <c:v>27.085875562884503</c:v>
                </c:pt>
                <c:pt idx="2">
                  <c:v>27.725927815329673</c:v>
                </c:pt>
                <c:pt idx="3">
                  <c:v>30.714061580702094</c:v>
                </c:pt>
                <c:pt idx="4">
                  <c:v>28.181922929202404</c:v>
                </c:pt>
                <c:pt idx="5">
                  <c:v>23.014696876913657</c:v>
                </c:pt>
                <c:pt idx="6">
                  <c:v>30.73793644566496</c:v>
                </c:pt>
                <c:pt idx="7">
                  <c:v>28.857087678640394</c:v>
                </c:pt>
                <c:pt idx="8">
                  <c:v>29.500938450585728</c:v>
                </c:pt>
                <c:pt idx="9">
                  <c:v>61.311845549738209</c:v>
                </c:pt>
                <c:pt idx="10">
                  <c:v>28.572281805921271</c:v>
                </c:pt>
                <c:pt idx="11">
                  <c:v>31.91127541589649</c:v>
                </c:pt>
                <c:pt idx="12">
                  <c:v>26.3416524862923</c:v>
                </c:pt>
                <c:pt idx="13">
                  <c:v>25.892265193370172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07-417A-A2DB-B7EFBA549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81855"/>
        <c:axId val="1941176447"/>
      </c:scatterChart>
      <c:valAx>
        <c:axId val="1941181855"/>
        <c:scaling>
          <c:orientation val="minMax"/>
          <c:max val="46310"/>
          <c:min val="462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76447"/>
        <c:crosses val="autoZero"/>
        <c:crossBetween val="midCat"/>
      </c:valAx>
      <c:valAx>
        <c:axId val="19411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8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寶特瓶</a:t>
            </a:r>
            <a:r>
              <a:rPr lang="en-US" altLang="zh-TW"/>
              <a:t>A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5.4573602810800217E-2"/>
          <c:y val="0.1183723369421003"/>
          <c:w val="0.85659083923951274"/>
          <c:h val="0.6009350961520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寶特瓶!$A$2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寶特瓶!$D$2:$Q$2</c:f>
              <c:numCache>
                <c:formatCode>General</c:formatCode>
                <c:ptCount val="14"/>
                <c:pt idx="0">
                  <c:v>8.9924812030075181</c:v>
                </c:pt>
                <c:pt idx="1">
                  <c:v>18.721974855945518</c:v>
                </c:pt>
                <c:pt idx="2">
                  <c:v>15.941987363584147</c:v>
                </c:pt>
                <c:pt idx="3">
                  <c:v>23.724259042454857</c:v>
                </c:pt>
                <c:pt idx="4">
                  <c:v>20.495299119707759</c:v>
                </c:pt>
                <c:pt idx="5">
                  <c:v>21.970086766579705</c:v>
                </c:pt>
                <c:pt idx="6">
                  <c:v>24.1855976243504</c:v>
                </c:pt>
                <c:pt idx="7">
                  <c:v>22.107344632768367</c:v>
                </c:pt>
                <c:pt idx="8">
                  <c:v>19.666904422253918</c:v>
                </c:pt>
                <c:pt idx="9">
                  <c:v>18.883144475920673</c:v>
                </c:pt>
                <c:pt idx="10">
                  <c:v>18.129593810444881</c:v>
                </c:pt>
                <c:pt idx="11">
                  <c:v>25.7237163814181</c:v>
                </c:pt>
                <c:pt idx="12">
                  <c:v>25.068823639423979</c:v>
                </c:pt>
                <c:pt idx="13">
                  <c:v>22.979797979797979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92-4FB8-8EE8-A7DD0EC75767}"/>
            </c:ext>
          </c:extLst>
        </c:ser>
        <c:ser>
          <c:idx val="1"/>
          <c:order val="1"/>
          <c:tx>
            <c:strRef>
              <c:f>寶特瓶!$A$3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寶特瓶!$D$3:$Q$3</c:f>
              <c:numCache>
                <c:formatCode>General</c:formatCode>
                <c:ptCount val="14"/>
                <c:pt idx="0">
                  <c:v>18.624352331606211</c:v>
                </c:pt>
                <c:pt idx="1">
                  <c:v>23.329751304881793</c:v>
                </c:pt>
                <c:pt idx="2">
                  <c:v>20.29535537091278</c:v>
                </c:pt>
                <c:pt idx="3">
                  <c:v>25.329896907216494</c:v>
                </c:pt>
                <c:pt idx="4">
                  <c:v>24.449866683202082</c:v>
                </c:pt>
                <c:pt idx="5">
                  <c:v>21.997511682951991</c:v>
                </c:pt>
                <c:pt idx="6">
                  <c:v>25.380797599699967</c:v>
                </c:pt>
                <c:pt idx="7">
                  <c:v>23.979312048415984</c:v>
                </c:pt>
                <c:pt idx="8">
                  <c:v>22.410489127124318</c:v>
                </c:pt>
                <c:pt idx="9">
                  <c:v>26.497160166603567</c:v>
                </c:pt>
                <c:pt idx="10">
                  <c:v>22.98677604995714</c:v>
                </c:pt>
                <c:pt idx="11">
                  <c:v>28.603006359606859</c:v>
                </c:pt>
                <c:pt idx="12">
                  <c:v>24.996511120802449</c:v>
                </c:pt>
                <c:pt idx="13">
                  <c:v>21.812651478429469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92-4FB8-8EE8-A7DD0EC75767}"/>
            </c:ext>
          </c:extLst>
        </c:ser>
        <c:ser>
          <c:idx val="2"/>
          <c:order val="2"/>
          <c:tx>
            <c:strRef>
              <c:f>寶特瓶!$A$4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寶特瓶!$D$4:$Q$4</c:f>
              <c:numCache>
                <c:formatCode>General</c:formatCode>
                <c:ptCount val="14"/>
                <c:pt idx="0">
                  <c:v>22.396674584323033</c:v>
                </c:pt>
                <c:pt idx="1">
                  <c:v>21.139974703366864</c:v>
                </c:pt>
                <c:pt idx="2">
                  <c:v>21.363307181653592</c:v>
                </c:pt>
                <c:pt idx="3">
                  <c:v>25.112254443405053</c:v>
                </c:pt>
                <c:pt idx="4">
                  <c:v>23.816230883078447</c:v>
                </c:pt>
                <c:pt idx="5">
                  <c:v>23.105534105534101</c:v>
                </c:pt>
                <c:pt idx="6">
                  <c:v>24.816123413784531</c:v>
                </c:pt>
                <c:pt idx="7">
                  <c:v>22.521126760563387</c:v>
                </c:pt>
                <c:pt idx="8">
                  <c:v>19.443706252224466</c:v>
                </c:pt>
                <c:pt idx="9">
                  <c:v>25.054353923829712</c:v>
                </c:pt>
                <c:pt idx="10">
                  <c:v>25.657894736842106</c:v>
                </c:pt>
                <c:pt idx="11">
                  <c:v>27.033472803347273</c:v>
                </c:pt>
                <c:pt idx="12">
                  <c:v>26.90640238110317</c:v>
                </c:pt>
                <c:pt idx="13">
                  <c:v>21.771653543307089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92-4FB8-8EE8-A7DD0EC75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81855"/>
        <c:axId val="1941176447"/>
      </c:scatterChart>
      <c:valAx>
        <c:axId val="1941181855"/>
        <c:scaling>
          <c:orientation val="minMax"/>
          <c:max val="46310"/>
          <c:min val="462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76447"/>
        <c:crosses val="autoZero"/>
        <c:crossBetween val="midCat"/>
      </c:valAx>
      <c:valAx>
        <c:axId val="19411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8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寶特瓶</a:t>
            </a:r>
            <a:r>
              <a:rPr lang="en-US" altLang="zh-TW"/>
              <a:t>B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3"/>
          <c:order val="0"/>
          <c:tx>
            <c:strRef>
              <c:f>寶特瓶!$A$5</c:f>
              <c:strCache>
                <c:ptCount val="1"/>
                <c:pt idx="0">
                  <c:v>B2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寶特瓶!$D$5:$Q$5</c:f>
              <c:numCache>
                <c:formatCode>General</c:formatCode>
                <c:ptCount val="14"/>
                <c:pt idx="0">
                  <c:v>15.440658586782526</c:v>
                </c:pt>
                <c:pt idx="1">
                  <c:v>23.301675977653623</c:v>
                </c:pt>
                <c:pt idx="2">
                  <c:v>21.234613297968526</c:v>
                </c:pt>
                <c:pt idx="3">
                  <c:v>26.928806688624274</c:v>
                </c:pt>
                <c:pt idx="4">
                  <c:v>26.38604123321355</c:v>
                </c:pt>
                <c:pt idx="5">
                  <c:v>25.914285714285715</c:v>
                </c:pt>
                <c:pt idx="6">
                  <c:v>26.809415337889135</c:v>
                </c:pt>
                <c:pt idx="7">
                  <c:v>26.134948096885815</c:v>
                </c:pt>
                <c:pt idx="8">
                  <c:v>26.149688542125467</c:v>
                </c:pt>
                <c:pt idx="9">
                  <c:v>38.125459463208259</c:v>
                </c:pt>
                <c:pt idx="10">
                  <c:v>28.105680655066525</c:v>
                </c:pt>
                <c:pt idx="11">
                  <c:v>29.876452639096282</c:v>
                </c:pt>
                <c:pt idx="12">
                  <c:v>26.608489672162221</c:v>
                </c:pt>
                <c:pt idx="13">
                  <c:v>25.395348837209308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CF-4AC5-B913-6E89E20C116F}"/>
            </c:ext>
          </c:extLst>
        </c:ser>
        <c:ser>
          <c:idx val="4"/>
          <c:order val="1"/>
          <c:tx>
            <c:strRef>
              <c:f>寶特瓶!$A$6</c:f>
              <c:strCache>
                <c:ptCount val="1"/>
                <c:pt idx="0">
                  <c:v>B3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寶特瓶!$D$6:$Q$6</c:f>
              <c:numCache>
                <c:formatCode>General</c:formatCode>
                <c:ptCount val="14"/>
                <c:pt idx="0">
                  <c:v>22.203623761172246</c:v>
                </c:pt>
                <c:pt idx="1">
                  <c:v>27.228346456692918</c:v>
                </c:pt>
                <c:pt idx="2">
                  <c:v>28.649122807017552</c:v>
                </c:pt>
                <c:pt idx="3">
                  <c:v>32.065635534404116</c:v>
                </c:pt>
                <c:pt idx="4">
                  <c:v>29.711877593360988</c:v>
                </c:pt>
                <c:pt idx="5">
                  <c:v>34.640056683986764</c:v>
                </c:pt>
                <c:pt idx="6">
                  <c:v>31.273592959873906</c:v>
                </c:pt>
                <c:pt idx="7">
                  <c:v>29.06577674598568</c:v>
                </c:pt>
                <c:pt idx="8">
                  <c:v>29.09675546668387</c:v>
                </c:pt>
                <c:pt idx="9">
                  <c:v>65.248741188318235</c:v>
                </c:pt>
                <c:pt idx="10">
                  <c:v>28.143789594931846</c:v>
                </c:pt>
                <c:pt idx="11">
                  <c:v>33.806274299503961</c:v>
                </c:pt>
                <c:pt idx="12">
                  <c:v>25.468159639684728</c:v>
                </c:pt>
                <c:pt idx="13">
                  <c:v>26.66795171585667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CF-4AC5-B913-6E89E20C116F}"/>
            </c:ext>
          </c:extLst>
        </c:ser>
        <c:ser>
          <c:idx val="5"/>
          <c:order val="2"/>
          <c:tx>
            <c:strRef>
              <c:f>寶特瓶!$A$7</c:f>
              <c:strCache>
                <c:ptCount val="1"/>
                <c:pt idx="0">
                  <c:v>B4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寶特瓶!$D$1:$Q$1</c:f>
              <c:numCache>
                <c:formatCode>m"月"d"日"</c:formatCode>
                <c:ptCount val="14"/>
                <c:pt idx="0">
                  <c:v>46266</c:v>
                </c:pt>
                <c:pt idx="1">
                  <c:v>46268</c:v>
                </c:pt>
                <c:pt idx="2">
                  <c:v>46275</c:v>
                </c:pt>
                <c:pt idx="3">
                  <c:v>46279</c:v>
                </c:pt>
                <c:pt idx="4">
                  <c:v>46282</c:v>
                </c:pt>
                <c:pt idx="5">
                  <c:v>46286</c:v>
                </c:pt>
                <c:pt idx="6">
                  <c:v>46289</c:v>
                </c:pt>
                <c:pt idx="7">
                  <c:v>46294</c:v>
                </c:pt>
                <c:pt idx="8">
                  <c:v>46296</c:v>
                </c:pt>
                <c:pt idx="9">
                  <c:v>46297</c:v>
                </c:pt>
                <c:pt idx="10">
                  <c:v>46301</c:v>
                </c:pt>
                <c:pt idx="11">
                  <c:v>46303</c:v>
                </c:pt>
                <c:pt idx="12">
                  <c:v>46307</c:v>
                </c:pt>
                <c:pt idx="13">
                  <c:v>46310</c:v>
                </c:pt>
              </c:numCache>
            </c:numRef>
          </c:xVal>
          <c:yVal>
            <c:numRef>
              <c:f>寶特瓶!$D$7:$Q$7</c:f>
              <c:numCache>
                <c:formatCode>General</c:formatCode>
                <c:ptCount val="14"/>
                <c:pt idx="0">
                  <c:v>26.208687440982057</c:v>
                </c:pt>
                <c:pt idx="1">
                  <c:v>27.085875562884503</c:v>
                </c:pt>
                <c:pt idx="2">
                  <c:v>27.725927815329673</c:v>
                </c:pt>
                <c:pt idx="3">
                  <c:v>30.714061580702094</c:v>
                </c:pt>
                <c:pt idx="4">
                  <c:v>28.181922929202404</c:v>
                </c:pt>
                <c:pt idx="5">
                  <c:v>23.014696876913657</c:v>
                </c:pt>
                <c:pt idx="6">
                  <c:v>30.73793644566496</c:v>
                </c:pt>
                <c:pt idx="7">
                  <c:v>28.857087678640394</c:v>
                </c:pt>
                <c:pt idx="8">
                  <c:v>29.500938450585728</c:v>
                </c:pt>
                <c:pt idx="9">
                  <c:v>61.311845549738209</c:v>
                </c:pt>
                <c:pt idx="10">
                  <c:v>28.572281805921271</c:v>
                </c:pt>
                <c:pt idx="11">
                  <c:v>31.91127541589649</c:v>
                </c:pt>
                <c:pt idx="12">
                  <c:v>26.3416524862923</c:v>
                </c:pt>
                <c:pt idx="13">
                  <c:v>25.892265193370172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CF-4AC5-B913-6E89E20C1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81855"/>
        <c:axId val="1941176447"/>
      </c:scatterChart>
      <c:valAx>
        <c:axId val="1941181855"/>
        <c:scaling>
          <c:orientation val="minMax"/>
          <c:max val="46310"/>
          <c:min val="4626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76447"/>
        <c:crosses val="autoZero"/>
        <c:crossBetween val="midCat"/>
      </c:valAx>
      <c:valAx>
        <c:axId val="194117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118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溫度與電阻關係圖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寶特瓶!$B$2:$B$4</c:f>
              <c:numCache>
                <c:formatCode>General</c:formatCode>
                <c:ptCount val="3"/>
                <c:pt idx="0">
                  <c:v>80</c:v>
                </c:pt>
                <c:pt idx="1">
                  <c:v>60</c:v>
                </c:pt>
                <c:pt idx="2">
                  <c:v>40</c:v>
                </c:pt>
              </c:numCache>
            </c:numRef>
          </c:xVal>
          <c:yVal>
            <c:numRef>
              <c:f>寶特瓶!$C$2:$C$4</c:f>
              <c:numCache>
                <c:formatCode>General</c:formatCode>
                <c:ptCount val="3"/>
                <c:pt idx="0">
                  <c:v>21.353733085742331</c:v>
                </c:pt>
                <c:pt idx="1">
                  <c:v>24.005314299984995</c:v>
                </c:pt>
                <c:pt idx="2">
                  <c:v>23.672464240926139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C7F-4646-8A7C-67226295AABB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寶特瓶!$B$5:$B$7</c:f>
              <c:numCache>
                <c:formatCode>General</c:formatCode>
                <c:ptCount val="3"/>
                <c:pt idx="0">
                  <c:v>80</c:v>
                </c:pt>
                <c:pt idx="1">
                  <c:v>60</c:v>
                </c:pt>
                <c:pt idx="2">
                  <c:v>40</c:v>
                </c:pt>
              </c:numCache>
            </c:numRef>
          </c:xVal>
          <c:yVal>
            <c:numRef>
              <c:f>寶特瓶!$C$5:$C$7</c:f>
              <c:numCache>
                <c:formatCode>General</c:formatCode>
                <c:ptCount val="3"/>
                <c:pt idx="0">
                  <c:v>26.997762011952975</c:v>
                </c:pt>
                <c:pt idx="1">
                  <c:v>32.38969851433086</c:v>
                </c:pt>
                <c:pt idx="2">
                  <c:v>30.757520599318603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C7F-4646-8A7C-67226295A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497167"/>
        <c:axId val="2114494671"/>
      </c:scatterChart>
      <c:valAx>
        <c:axId val="211449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溫度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4494671"/>
        <c:crosses val="autoZero"/>
        <c:crossBetween val="midCat"/>
      </c:valAx>
      <c:valAx>
        <c:axId val="211449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電阻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4497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紙杯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紙杯!$A$2</c:f>
              <c:strCache>
                <c:ptCount val="1"/>
                <c:pt idx="0">
                  <c:v>紙杯60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紙杯!$B$1:$F$1</c:f>
              <c:numCache>
                <c:formatCode>m"月"d"日"</c:formatCode>
                <c:ptCount val="5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  <c:pt idx="3">
                  <c:v>46287</c:v>
                </c:pt>
                <c:pt idx="4">
                  <c:v>46289</c:v>
                </c:pt>
              </c:numCache>
            </c:numRef>
          </c:xVal>
          <c:yVal>
            <c:numRef>
              <c:f>紙杯!$B$2:$F$2</c:f>
              <c:numCache>
                <c:formatCode>General</c:formatCode>
                <c:ptCount val="5"/>
                <c:pt idx="0">
                  <c:v>28.818521140356516</c:v>
                </c:pt>
                <c:pt idx="1">
                  <c:v>30.206952672352067</c:v>
                </c:pt>
                <c:pt idx="2">
                  <c:v>30.523399255923252</c:v>
                </c:pt>
                <c:pt idx="3">
                  <c:v>30.523399255923252</c:v>
                </c:pt>
                <c:pt idx="4">
                  <c:v>29.345161915842553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63-4075-B4B0-BD55D3E1639D}"/>
            </c:ext>
          </c:extLst>
        </c:ser>
        <c:ser>
          <c:idx val="1"/>
          <c:order val="1"/>
          <c:tx>
            <c:strRef>
              <c:f>紙杯!$A$3</c:f>
              <c:strCache>
                <c:ptCount val="1"/>
                <c:pt idx="0">
                  <c:v>紙杯40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紙杯!$B$1:$F$1</c:f>
              <c:numCache>
                <c:formatCode>m"月"d"日"</c:formatCode>
                <c:ptCount val="5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  <c:pt idx="3">
                  <c:v>46287</c:v>
                </c:pt>
                <c:pt idx="4">
                  <c:v>46289</c:v>
                </c:pt>
              </c:numCache>
            </c:numRef>
          </c:xVal>
          <c:yVal>
            <c:numRef>
              <c:f>紙杯!$B$3:$F$3</c:f>
              <c:numCache>
                <c:formatCode>General</c:formatCode>
                <c:ptCount val="5"/>
                <c:pt idx="0">
                  <c:v>30.586886958793187</c:v>
                </c:pt>
                <c:pt idx="1">
                  <c:v>34.462264150943398</c:v>
                </c:pt>
                <c:pt idx="2">
                  <c:v>29.578978045463383</c:v>
                </c:pt>
                <c:pt idx="3">
                  <c:v>29.578978045463383</c:v>
                </c:pt>
                <c:pt idx="4">
                  <c:v>27.295952728890011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63-4075-B4B0-BD55D3E16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6342287"/>
        <c:axId val="1936334799"/>
      </c:scatterChart>
      <c:valAx>
        <c:axId val="1936342287"/>
        <c:scaling>
          <c:orientation val="minMax"/>
          <c:max val="46289"/>
          <c:min val="462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6334799"/>
        <c:crosses val="autoZero"/>
        <c:crossBetween val="midCat"/>
      </c:valAx>
      <c:valAx>
        <c:axId val="193633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3634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保麗龍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保麗龍!$A$2</c:f>
              <c:strCache>
                <c:ptCount val="1"/>
                <c:pt idx="0">
                  <c:v>保大80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保麗龍!$B$1:$D$1</c:f>
              <c:numCache>
                <c:formatCode>m"月"d"日"</c:formatCode>
                <c:ptCount val="3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</c:numCache>
            </c:numRef>
          </c:xVal>
          <c:yVal>
            <c:numRef>
              <c:f>保麗龍!$B$2:$D$2</c:f>
              <c:numCache>
                <c:formatCode>General</c:formatCode>
                <c:ptCount val="3"/>
                <c:pt idx="0">
                  <c:v>35.15082322650585</c:v>
                </c:pt>
                <c:pt idx="1">
                  <c:v>34.251261352169529</c:v>
                </c:pt>
                <c:pt idx="2">
                  <c:v>30.586886958793187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0B-4740-95B8-548F5B8C84D3}"/>
            </c:ext>
          </c:extLst>
        </c:ser>
        <c:ser>
          <c:idx val="1"/>
          <c:order val="1"/>
          <c:tx>
            <c:strRef>
              <c:f>保麗龍!$A$3</c:f>
              <c:strCache>
                <c:ptCount val="1"/>
                <c:pt idx="0">
                  <c:v>保大60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保麗龍!$B$1:$D$1</c:f>
              <c:numCache>
                <c:formatCode>m"月"d"日"</c:formatCode>
                <c:ptCount val="3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</c:numCache>
            </c:numRef>
          </c:xVal>
          <c:yVal>
            <c:numRef>
              <c:f>保麗龍!$B$3:$D$3</c:f>
              <c:numCache>
                <c:formatCode>General</c:formatCode>
                <c:ptCount val="3"/>
                <c:pt idx="0">
                  <c:v>38.746341463414637</c:v>
                </c:pt>
                <c:pt idx="1">
                  <c:v>38.018086064721786</c:v>
                </c:pt>
                <c:pt idx="2">
                  <c:v>33.389363976483168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0B-4740-95B8-548F5B8C84D3}"/>
            </c:ext>
          </c:extLst>
        </c:ser>
        <c:ser>
          <c:idx val="2"/>
          <c:order val="2"/>
          <c:tx>
            <c:strRef>
              <c:f>保麗龍!$A$4</c:f>
              <c:strCache>
                <c:ptCount val="1"/>
                <c:pt idx="0">
                  <c:v>保大40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保麗龍!$B$1:$D$1</c:f>
              <c:numCache>
                <c:formatCode>m"月"d"日"</c:formatCode>
                <c:ptCount val="3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</c:numCache>
            </c:numRef>
          </c:xVal>
          <c:yVal>
            <c:numRef>
              <c:f>保麗龍!$B$4:$D$4</c:f>
              <c:numCache>
                <c:formatCode>General</c:formatCode>
                <c:ptCount val="3"/>
                <c:pt idx="0">
                  <c:v>31.716846823095171</c:v>
                </c:pt>
                <c:pt idx="1">
                  <c:v>33.264833477941671</c:v>
                </c:pt>
                <c:pt idx="2">
                  <c:v>31.563359884141935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0B-4740-95B8-548F5B8C84D3}"/>
            </c:ext>
          </c:extLst>
        </c:ser>
        <c:ser>
          <c:idx val="3"/>
          <c:order val="3"/>
          <c:tx>
            <c:strRef>
              <c:f>保麗龍!$A$5</c:f>
              <c:strCache>
                <c:ptCount val="1"/>
                <c:pt idx="0">
                  <c:v>保小80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保麗龍!$B$1:$D$1</c:f>
              <c:numCache>
                <c:formatCode>m"月"d"日"</c:formatCode>
                <c:ptCount val="3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</c:numCache>
            </c:numRef>
          </c:xVal>
          <c:yVal>
            <c:numRef>
              <c:f>保麗龍!$B$5:$D$5</c:f>
              <c:numCache>
                <c:formatCode>General</c:formatCode>
                <c:ptCount val="3"/>
                <c:pt idx="0">
                  <c:v>31.041164132144736</c:v>
                </c:pt>
                <c:pt idx="1">
                  <c:v>32.613065993891908</c:v>
                </c:pt>
                <c:pt idx="2">
                  <c:v>25.482732732732725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0B-4740-95B8-548F5B8C84D3}"/>
            </c:ext>
          </c:extLst>
        </c:ser>
        <c:ser>
          <c:idx val="4"/>
          <c:order val="4"/>
          <c:tx>
            <c:strRef>
              <c:f>保麗龍!$A$6</c:f>
              <c:strCache>
                <c:ptCount val="1"/>
                <c:pt idx="0">
                  <c:v>保小60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保麗龍!$B$1:$D$1</c:f>
              <c:numCache>
                <c:formatCode>m"月"d"日"</c:formatCode>
                <c:ptCount val="3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</c:numCache>
            </c:numRef>
          </c:xVal>
          <c:yVal>
            <c:numRef>
              <c:f>保麗龍!$B$6:$D$6</c:f>
              <c:numCache>
                <c:formatCode>General</c:formatCode>
                <c:ptCount val="3"/>
                <c:pt idx="0">
                  <c:v>33.705961152042867</c:v>
                </c:pt>
                <c:pt idx="1">
                  <c:v>35.073943661971832</c:v>
                </c:pt>
                <c:pt idx="2">
                  <c:v>32.744516815100368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0B-4740-95B8-548F5B8C84D3}"/>
            </c:ext>
          </c:extLst>
        </c:ser>
        <c:ser>
          <c:idx val="5"/>
          <c:order val="5"/>
          <c:tx>
            <c:strRef>
              <c:f>保麗龍!$A$7</c:f>
              <c:strCache>
                <c:ptCount val="1"/>
                <c:pt idx="0">
                  <c:v>保小40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保麗龍!$B$1:$D$1</c:f>
              <c:numCache>
                <c:formatCode>m"月"d"日"</c:formatCode>
                <c:ptCount val="3"/>
                <c:pt idx="0">
                  <c:v>46280</c:v>
                </c:pt>
                <c:pt idx="1">
                  <c:v>46282</c:v>
                </c:pt>
                <c:pt idx="2">
                  <c:v>46286</c:v>
                </c:pt>
              </c:numCache>
            </c:numRef>
          </c:xVal>
          <c:yVal>
            <c:numRef>
              <c:f>保麗龍!$B$7:$D$7</c:f>
              <c:numCache>
                <c:formatCode>General</c:formatCode>
                <c:ptCount val="3"/>
                <c:pt idx="0">
                  <c:v>32.236695790309774</c:v>
                </c:pt>
                <c:pt idx="1">
                  <c:v>34.572266810548321</c:v>
                </c:pt>
                <c:pt idx="2">
                  <c:v>31.676418264479143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0B-4740-95B8-548F5B8C8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9479839"/>
        <c:axId val="1873503631"/>
      </c:scatterChart>
      <c:valAx>
        <c:axId val="1739479839"/>
        <c:scaling>
          <c:orientation val="minMax"/>
          <c:max val="46286"/>
          <c:min val="462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&quot;月&quot;d&quot;日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73503631"/>
        <c:crosses val="autoZero"/>
        <c:crossBetween val="midCat"/>
      </c:valAx>
      <c:valAx>
        <c:axId val="1873503631"/>
        <c:scaling>
          <c:orientation val="minMax"/>
          <c:max val="40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947983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溫度與平均電阻關係圖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降溫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去離子養樂多!$C$2:$C$7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xVal>
          <c:yVal>
            <c:numRef>
              <c:f>去離子養樂多!$D$2:$D$7</c:f>
              <c:numCache>
                <c:formatCode>General</c:formatCode>
                <c:ptCount val="6"/>
                <c:pt idx="0">
                  <c:v>59.056268124732384</c:v>
                </c:pt>
                <c:pt idx="1">
                  <c:v>55.694648930277147</c:v>
                </c:pt>
                <c:pt idx="2">
                  <c:v>59.584164343396473</c:v>
                </c:pt>
                <c:pt idx="3">
                  <c:v>50.037617327987178</c:v>
                </c:pt>
                <c:pt idx="4">
                  <c:v>66.894796947695539</c:v>
                </c:pt>
                <c:pt idx="5">
                  <c:v>61.908008499295079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E4-4BF0-A285-727408CC2523}"/>
            </c:ext>
          </c:extLst>
        </c:ser>
        <c:ser>
          <c:idx val="1"/>
          <c:order val="1"/>
          <c:tx>
            <c:v>升溫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去離子養樂多!$C$8:$C$13</c:f>
              <c:numCache>
                <c:formatCode>General</c:formatCode>
                <c:ptCount val="6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</c:numCache>
            </c:numRef>
          </c:xVal>
          <c:yVal>
            <c:numRef>
              <c:f>去離子養樂多!$D$8:$D$13</c:f>
              <c:numCache>
                <c:formatCode>General</c:formatCode>
                <c:ptCount val="6"/>
                <c:pt idx="0">
                  <c:v>67.103506315209671</c:v>
                </c:pt>
                <c:pt idx="1">
                  <c:v>61.143826332740872</c:v>
                </c:pt>
                <c:pt idx="2">
                  <c:v>59.923822405388847</c:v>
                </c:pt>
                <c:pt idx="3">
                  <c:v>86.858562085465579</c:v>
                </c:pt>
                <c:pt idx="4">
                  <c:v>92.158630651169744</c:v>
                </c:pt>
                <c:pt idx="5">
                  <c:v>100.73662693984787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E4-4BF0-A285-727408CC2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072880"/>
        <c:axId val="1590069552"/>
      </c:scatterChart>
      <c:valAx>
        <c:axId val="159007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溫度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0069552"/>
        <c:crosses val="autoZero"/>
        <c:crossBetween val="midCat"/>
      </c:valAx>
      <c:valAx>
        <c:axId val="159006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電阻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0072880"/>
        <c:crosses val="autoZero"/>
        <c:crossBetween val="midCat"/>
        <c:majorUnit val="1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431909</xdr:colOff>
      <xdr:row>7</xdr:row>
      <xdr:rowOff>176377</xdr:rowOff>
    </xdr:from>
    <xdr:to>
      <xdr:col>13</xdr:col>
      <xdr:colOff>203309</xdr:colOff>
      <xdr:row>20</xdr:row>
      <xdr:rowOff>195426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BD21F17-F85E-438F-B072-57C88ACAE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248588</xdr:colOff>
      <xdr:row>7</xdr:row>
      <xdr:rowOff>208901</xdr:rowOff>
    </xdr:from>
    <xdr:to>
      <xdr:col>20</xdr:col>
      <xdr:colOff>19987</xdr:colOff>
      <xdr:row>21</xdr:row>
      <xdr:rowOff>11473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6E745C1-359C-47E8-8123-1C73A5797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8985</xdr:colOff>
      <xdr:row>7</xdr:row>
      <xdr:rowOff>165557</xdr:rowOff>
    </xdr:from>
    <xdr:to>
      <xdr:col>26</xdr:col>
      <xdr:colOff>473111</xdr:colOff>
      <xdr:row>20</xdr:row>
      <xdr:rowOff>184607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4CB3B64C-570C-4928-86C2-AC3669A28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438979</xdr:colOff>
      <xdr:row>8</xdr:row>
      <xdr:rowOff>98562</xdr:rowOff>
    </xdr:from>
    <xdr:to>
      <xdr:col>7</xdr:col>
      <xdr:colOff>563218</xdr:colOff>
      <xdr:row>21</xdr:row>
      <xdr:rowOff>149914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FD21FC0-6C4D-4381-AC57-2114319C7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0</xdr:row>
      <xdr:rowOff>66675</xdr:rowOff>
    </xdr:from>
    <xdr:to>
      <xdr:col>12</xdr:col>
      <xdr:colOff>600075</xdr:colOff>
      <xdr:row>13</xdr:row>
      <xdr:rowOff>85725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E07F463-579C-46CF-B538-65B482BE4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204787</xdr:colOff>
      <xdr:row>1</xdr:row>
      <xdr:rowOff>180975</xdr:rowOff>
    </xdr:from>
    <xdr:to>
      <xdr:col>12</xdr:col>
      <xdr:colOff>661987</xdr:colOff>
      <xdr:row>14</xdr:row>
      <xdr:rowOff>200025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6D72FF7-12E6-45A9-8E5A-CFB8CD5A1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</xdr:row>
      <xdr:rowOff>114300</xdr:rowOff>
    </xdr:from>
    <xdr:to>
      <xdr:col>15</xdr:col>
      <xdr:colOff>28575</xdr:colOff>
      <xdr:row>14</xdr:row>
      <xdr:rowOff>133350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8D2CDC1-A655-45DD-88DB-582086A43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2DFC-77A3-4DD4-AC22-8538791694F9}">
  <dimension ref="A1:Q7"/>
  <sheetViews>
    <sheetView zoomScale="89" zoomScaleNormal="100" workbookViewId="0">
      <selection activeCell="T4" sqref="T4"/>
    </sheetView>
  </sheetViews>
  <sheetFormatPr defaultRowHeight="16.5" x14ac:dyDescent="0.25"/>
  <cols>
    <col min="1" max="2" width="9" customWidth="1"/>
    <col min="3" max="3" width="13.25" customWidth="1"/>
    <col min="16" max="17" width="9.5" bestFit="1" customWidth="1"/>
  </cols>
  <sheetData>
    <row r="1" spans="1:17" x14ac:dyDescent="0.25">
      <c r="B1" t="s">
        <v>22</v>
      </c>
      <c r="C1" t="s">
        <v>21</v>
      </c>
      <c r="D1" s="1">
        <v>46266</v>
      </c>
      <c r="E1" s="1">
        <v>46268</v>
      </c>
      <c r="F1" s="1">
        <v>46275</v>
      </c>
      <c r="G1" s="1">
        <v>46279</v>
      </c>
      <c r="H1" s="1">
        <v>46282</v>
      </c>
      <c r="I1" s="1">
        <v>46286</v>
      </c>
      <c r="J1" s="1">
        <v>46289</v>
      </c>
      <c r="K1" s="1">
        <v>46294</v>
      </c>
      <c r="L1" s="1">
        <v>46296</v>
      </c>
      <c r="M1" s="1">
        <v>46297</v>
      </c>
      <c r="N1" s="1">
        <v>46301</v>
      </c>
      <c r="O1" s="1">
        <v>46303</v>
      </c>
      <c r="P1" s="1">
        <v>46307</v>
      </c>
      <c r="Q1" s="1">
        <v>46310</v>
      </c>
    </row>
    <row r="2" spans="1:17" x14ac:dyDescent="0.25">
      <c r="A2" t="s">
        <v>0</v>
      </c>
      <c r="B2">
        <v>80</v>
      </c>
      <c r="C2">
        <f>AVERAGE(E2:Q2)</f>
        <v>21.353733085742331</v>
      </c>
      <c r="D2">
        <v>8.9924812030075181</v>
      </c>
      <c r="E2">
        <v>18.721974855945518</v>
      </c>
      <c r="F2">
        <v>15.941987363584147</v>
      </c>
      <c r="G2">
        <v>23.724259042454857</v>
      </c>
      <c r="H2">
        <v>20.495299119707759</v>
      </c>
      <c r="I2">
        <v>21.970086766579705</v>
      </c>
      <c r="J2">
        <v>24.1855976243504</v>
      </c>
      <c r="K2">
        <v>22.107344632768367</v>
      </c>
      <c r="L2">
        <v>19.666904422253918</v>
      </c>
      <c r="M2">
        <v>18.883144475920673</v>
      </c>
      <c r="N2">
        <v>18.129593810444881</v>
      </c>
      <c r="O2" s="2">
        <v>25.7237163814181</v>
      </c>
      <c r="P2" s="3">
        <v>25.068823639423979</v>
      </c>
      <c r="Q2" s="3">
        <v>22.979797979797979</v>
      </c>
    </row>
    <row r="3" spans="1:17" x14ac:dyDescent="0.25">
      <c r="A3" t="s">
        <v>1</v>
      </c>
      <c r="B3">
        <v>60</v>
      </c>
      <c r="C3">
        <f t="shared" ref="C3:C7" si="0">AVERAGE(E3:Q3)</f>
        <v>24.005314299984995</v>
      </c>
      <c r="D3">
        <v>18.624352331606211</v>
      </c>
      <c r="E3">
        <v>23.329751304881793</v>
      </c>
      <c r="F3">
        <v>20.29535537091278</v>
      </c>
      <c r="G3">
        <v>25.329896907216494</v>
      </c>
      <c r="H3">
        <v>24.449866683202082</v>
      </c>
      <c r="I3">
        <v>21.997511682951991</v>
      </c>
      <c r="J3">
        <v>25.380797599699967</v>
      </c>
      <c r="K3">
        <v>23.979312048415984</v>
      </c>
      <c r="L3">
        <v>22.410489127124318</v>
      </c>
      <c r="M3">
        <v>26.497160166603567</v>
      </c>
      <c r="N3">
        <v>22.98677604995714</v>
      </c>
      <c r="O3">
        <v>28.603006359606859</v>
      </c>
      <c r="P3" s="3">
        <v>24.996511120802449</v>
      </c>
      <c r="Q3" s="3">
        <v>21.812651478429469</v>
      </c>
    </row>
    <row r="4" spans="1:17" x14ac:dyDescent="0.25">
      <c r="A4" t="s">
        <v>2</v>
      </c>
      <c r="B4">
        <v>40</v>
      </c>
      <c r="C4">
        <f t="shared" si="0"/>
        <v>23.672464240926139</v>
      </c>
      <c r="D4">
        <v>22.396674584323033</v>
      </c>
      <c r="E4">
        <v>21.139974703366864</v>
      </c>
      <c r="F4">
        <v>21.363307181653592</v>
      </c>
      <c r="G4">
        <v>25.112254443405053</v>
      </c>
      <c r="H4">
        <v>23.816230883078447</v>
      </c>
      <c r="I4">
        <v>23.105534105534101</v>
      </c>
      <c r="J4">
        <v>24.816123413784531</v>
      </c>
      <c r="K4">
        <v>22.521126760563387</v>
      </c>
      <c r="L4">
        <v>19.443706252224466</v>
      </c>
      <c r="M4">
        <v>25.054353923829712</v>
      </c>
      <c r="N4">
        <v>25.657894736842106</v>
      </c>
      <c r="O4">
        <v>27.033472803347273</v>
      </c>
      <c r="P4" s="3">
        <v>26.90640238110317</v>
      </c>
      <c r="Q4" s="3">
        <v>21.771653543307089</v>
      </c>
    </row>
    <row r="5" spans="1:17" x14ac:dyDescent="0.25">
      <c r="A5" t="s">
        <v>3</v>
      </c>
      <c r="B5">
        <v>80</v>
      </c>
      <c r="C5">
        <f t="shared" si="0"/>
        <v>26.997762011952975</v>
      </c>
      <c r="D5">
        <v>15.440658586782526</v>
      </c>
      <c r="E5">
        <v>23.301675977653623</v>
      </c>
      <c r="F5">
        <v>21.234613297968526</v>
      </c>
      <c r="G5">
        <v>26.928806688624274</v>
      </c>
      <c r="H5">
        <v>26.38604123321355</v>
      </c>
      <c r="I5">
        <v>25.914285714285715</v>
      </c>
      <c r="J5">
        <v>26.809415337889135</v>
      </c>
      <c r="K5">
        <v>26.134948096885815</v>
      </c>
      <c r="L5">
        <v>26.149688542125467</v>
      </c>
      <c r="M5">
        <v>38.125459463208259</v>
      </c>
      <c r="N5">
        <v>28.105680655066525</v>
      </c>
      <c r="O5">
        <v>29.876452639096282</v>
      </c>
      <c r="P5" s="3">
        <v>26.608489672162221</v>
      </c>
      <c r="Q5" s="3">
        <v>25.395348837209308</v>
      </c>
    </row>
    <row r="6" spans="1:17" x14ac:dyDescent="0.25">
      <c r="A6" t="s">
        <v>4</v>
      </c>
      <c r="B6">
        <v>60</v>
      </c>
      <c r="C6">
        <f t="shared" si="0"/>
        <v>32.38969851433086</v>
      </c>
      <c r="D6">
        <v>22.203623761172246</v>
      </c>
      <c r="E6">
        <v>27.228346456692918</v>
      </c>
      <c r="F6">
        <v>28.649122807017552</v>
      </c>
      <c r="G6">
        <v>32.065635534404116</v>
      </c>
      <c r="H6">
        <v>29.711877593360988</v>
      </c>
      <c r="I6">
        <v>34.640056683986764</v>
      </c>
      <c r="J6">
        <v>31.273592959873906</v>
      </c>
      <c r="K6">
        <v>29.06577674598568</v>
      </c>
      <c r="L6">
        <v>29.09675546668387</v>
      </c>
      <c r="M6">
        <v>65.248741188318235</v>
      </c>
      <c r="N6">
        <v>28.143789594931846</v>
      </c>
      <c r="O6">
        <v>33.806274299503961</v>
      </c>
      <c r="P6" s="3">
        <v>25.468159639684728</v>
      </c>
      <c r="Q6" s="3">
        <v>26.66795171585667</v>
      </c>
    </row>
    <row r="7" spans="1:17" x14ac:dyDescent="0.25">
      <c r="A7" t="s">
        <v>5</v>
      </c>
      <c r="B7">
        <v>40</v>
      </c>
      <c r="C7">
        <f t="shared" si="0"/>
        <v>30.757520599318603</v>
      </c>
      <c r="D7">
        <v>26.208687440982057</v>
      </c>
      <c r="E7">
        <v>27.085875562884503</v>
      </c>
      <c r="F7">
        <v>27.725927815329673</v>
      </c>
      <c r="G7">
        <v>30.714061580702094</v>
      </c>
      <c r="H7">
        <v>28.181922929202404</v>
      </c>
      <c r="I7">
        <v>23.014696876913657</v>
      </c>
      <c r="J7">
        <v>30.73793644566496</v>
      </c>
      <c r="K7">
        <v>28.857087678640394</v>
      </c>
      <c r="L7">
        <v>29.500938450585728</v>
      </c>
      <c r="M7">
        <v>61.311845549738209</v>
      </c>
      <c r="N7">
        <v>28.572281805921271</v>
      </c>
      <c r="O7">
        <v>31.91127541589649</v>
      </c>
      <c r="P7" s="3">
        <v>26.3416524862923</v>
      </c>
      <c r="Q7" s="3">
        <v>25.892265193370172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9B3B-2AAB-4826-9346-23678512F618}">
  <dimension ref="A1:F3"/>
  <sheetViews>
    <sheetView workbookViewId="0">
      <selection activeCell="E9" sqref="E9"/>
    </sheetView>
  </sheetViews>
  <sheetFormatPr defaultRowHeight="16.5" x14ac:dyDescent="0.25"/>
  <sheetData>
    <row r="1" spans="1:6" x14ac:dyDescent="0.25">
      <c r="B1" s="1">
        <v>46280</v>
      </c>
      <c r="C1" s="1">
        <v>46282</v>
      </c>
      <c r="D1" s="1">
        <v>46286</v>
      </c>
      <c r="E1" s="1">
        <v>46287</v>
      </c>
      <c r="F1" s="1">
        <v>46289</v>
      </c>
    </row>
    <row r="2" spans="1:6" x14ac:dyDescent="0.25">
      <c r="A2" t="s">
        <v>6</v>
      </c>
      <c r="B2">
        <v>28.818521140356516</v>
      </c>
      <c r="C2">
        <v>30.206952672352067</v>
      </c>
      <c r="D2">
        <v>30.523399255923252</v>
      </c>
      <c r="E2">
        <v>30.523399255923252</v>
      </c>
      <c r="F2">
        <v>29.345161915842553</v>
      </c>
    </row>
    <row r="3" spans="1:6" x14ac:dyDescent="0.25">
      <c r="A3" t="s">
        <v>7</v>
      </c>
      <c r="B3">
        <v>30.586886958793187</v>
      </c>
      <c r="C3">
        <v>34.462264150943398</v>
      </c>
      <c r="D3">
        <v>29.578978045463383</v>
      </c>
      <c r="E3">
        <v>29.578978045463383</v>
      </c>
      <c r="F3">
        <v>27.295952728890011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D250-9B95-44BE-A142-A9B2D1516DF3}">
  <dimension ref="A1:D7"/>
  <sheetViews>
    <sheetView zoomScale="87" workbookViewId="0">
      <selection activeCell="D9" sqref="D9"/>
    </sheetView>
  </sheetViews>
  <sheetFormatPr defaultRowHeight="16.5" x14ac:dyDescent="0.25"/>
  <sheetData>
    <row r="1" spans="1:4" x14ac:dyDescent="0.25">
      <c r="B1" s="1">
        <v>46280</v>
      </c>
      <c r="C1" s="1">
        <v>46282</v>
      </c>
      <c r="D1" s="1">
        <v>46286</v>
      </c>
    </row>
    <row r="2" spans="1:4" x14ac:dyDescent="0.25">
      <c r="A2" t="s">
        <v>8</v>
      </c>
      <c r="B2">
        <v>35.15082322650585</v>
      </c>
      <c r="C2">
        <v>34.251261352169529</v>
      </c>
      <c r="D2">
        <v>30.586886958793187</v>
      </c>
    </row>
    <row r="3" spans="1:4" x14ac:dyDescent="0.25">
      <c r="A3" t="s">
        <v>9</v>
      </c>
      <c r="B3">
        <v>38.746341463414637</v>
      </c>
      <c r="C3">
        <v>38.018086064721786</v>
      </c>
      <c r="D3">
        <v>33.389363976483168</v>
      </c>
    </row>
    <row r="4" spans="1:4" x14ac:dyDescent="0.25">
      <c r="A4" t="s">
        <v>10</v>
      </c>
      <c r="B4">
        <v>31.716846823095171</v>
      </c>
      <c r="C4">
        <v>33.264833477941671</v>
      </c>
      <c r="D4">
        <v>31.563359884141935</v>
      </c>
    </row>
    <row r="5" spans="1:4" x14ac:dyDescent="0.25">
      <c r="A5" t="s">
        <v>11</v>
      </c>
      <c r="B5">
        <v>31.041164132144736</v>
      </c>
      <c r="C5">
        <v>32.613065993891908</v>
      </c>
      <c r="D5">
        <v>25.482732732732725</v>
      </c>
    </row>
    <row r="6" spans="1:4" x14ac:dyDescent="0.25">
      <c r="A6" t="s">
        <v>12</v>
      </c>
      <c r="B6">
        <v>33.705961152042867</v>
      </c>
      <c r="C6">
        <v>35.073943661971832</v>
      </c>
      <c r="D6">
        <v>32.744516815100368</v>
      </c>
    </row>
    <row r="7" spans="1:4" x14ac:dyDescent="0.25">
      <c r="A7" t="s">
        <v>13</v>
      </c>
      <c r="B7">
        <v>32.236695790309774</v>
      </c>
      <c r="C7">
        <v>34.572266810548321</v>
      </c>
      <c r="D7">
        <v>31.676418264479143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3914-3E76-4C85-931C-E888E3F34928}">
  <dimension ref="A1:E8"/>
  <sheetViews>
    <sheetView workbookViewId="0">
      <selection activeCell="F8" sqref="F8"/>
    </sheetView>
  </sheetViews>
  <sheetFormatPr defaultRowHeight="16.5" x14ac:dyDescent="0.25"/>
  <cols>
    <col min="1" max="1" width="12.625" customWidth="1"/>
  </cols>
  <sheetData>
    <row r="1" spans="1:5" x14ac:dyDescent="0.25">
      <c r="B1" s="1">
        <v>46294</v>
      </c>
      <c r="C1" s="1">
        <v>46296</v>
      </c>
      <c r="D1" s="1">
        <v>46297</v>
      </c>
      <c r="E1" s="1">
        <v>46301</v>
      </c>
    </row>
    <row r="2" spans="1:5" x14ac:dyDescent="0.25">
      <c r="A2" t="s">
        <v>14</v>
      </c>
      <c r="B2">
        <v>27.514322087842139</v>
      </c>
      <c r="C2">
        <v>21.737511353315167</v>
      </c>
      <c r="D2">
        <v>22.05240148157143</v>
      </c>
      <c r="E2">
        <v>22.638916015624993</v>
      </c>
    </row>
    <row r="3" spans="1:5" x14ac:dyDescent="0.25">
      <c r="A3" t="s">
        <v>15</v>
      </c>
      <c r="B3">
        <v>21.409723546234513</v>
      </c>
      <c r="C3">
        <v>18.06566692050847</v>
      </c>
      <c r="D3">
        <v>16.472870006926801</v>
      </c>
      <c r="E3">
        <v>22.882194629640949</v>
      </c>
    </row>
    <row r="4" spans="1:5" x14ac:dyDescent="0.25">
      <c r="A4" t="s">
        <v>16</v>
      </c>
      <c r="B4">
        <v>25.987747408105562</v>
      </c>
      <c r="C4">
        <v>18.889629935666651</v>
      </c>
      <c r="D4">
        <v>21.874204304334647</v>
      </c>
      <c r="E4">
        <v>25.010966415352975</v>
      </c>
    </row>
    <row r="5" spans="1:5" x14ac:dyDescent="0.25">
      <c r="A5" t="s">
        <v>17</v>
      </c>
      <c r="B5">
        <v>27.741071428571427</v>
      </c>
      <c r="D5">
        <v>25.054353923829712</v>
      </c>
      <c r="E5">
        <v>28.128543092968194</v>
      </c>
    </row>
    <row r="6" spans="1:5" x14ac:dyDescent="0.25">
      <c r="A6" t="s">
        <v>18</v>
      </c>
      <c r="B6">
        <v>26.690265486725664</v>
      </c>
      <c r="D6">
        <v>24.514331802953222</v>
      </c>
      <c r="E6">
        <v>28.810810810810811</v>
      </c>
    </row>
    <row r="7" spans="1:5" x14ac:dyDescent="0.25">
      <c r="A7" t="s">
        <v>19</v>
      </c>
      <c r="B7">
        <v>28.372956337757259</v>
      </c>
      <c r="D7">
        <v>23.491452465871355</v>
      </c>
      <c r="E7">
        <v>28.0295358649789</v>
      </c>
    </row>
    <row r="8" spans="1:5" x14ac:dyDescent="0.25">
      <c r="A8" t="s">
        <v>20</v>
      </c>
      <c r="B8">
        <v>26.460097154753651</v>
      </c>
      <c r="D8">
        <v>23.646551724137932</v>
      </c>
      <c r="E8">
        <v>28.895679052096071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0237-65B3-432B-B474-072809A613FD}">
  <dimension ref="A1:H14"/>
  <sheetViews>
    <sheetView tabSelected="1" workbookViewId="0">
      <selection activeCell="E2" sqref="E2:H2"/>
    </sheetView>
  </sheetViews>
  <sheetFormatPr defaultRowHeight="16.5" x14ac:dyDescent="0.25"/>
  <cols>
    <col min="6" max="8" width="9.5" bestFit="1" customWidth="1"/>
  </cols>
  <sheetData>
    <row r="1" spans="1:8" x14ac:dyDescent="0.25">
      <c r="C1" t="s">
        <v>22</v>
      </c>
      <c r="D1" t="s">
        <v>36</v>
      </c>
      <c r="E1" s="1">
        <v>46303</v>
      </c>
      <c r="F1" s="1">
        <v>46307</v>
      </c>
      <c r="G1" s="1">
        <v>46310</v>
      </c>
      <c r="H1" s="1">
        <v>46313</v>
      </c>
    </row>
    <row r="2" spans="1:8" x14ac:dyDescent="0.25">
      <c r="A2" t="s">
        <v>23</v>
      </c>
      <c r="C2">
        <v>30</v>
      </c>
      <c r="D2">
        <f>AVERAGE(E2:H2)</f>
        <v>59.056268124732384</v>
      </c>
      <c r="E2">
        <v>53.520686175580224</v>
      </c>
      <c r="F2" s="3">
        <v>61.125173625296171</v>
      </c>
      <c r="G2" s="3">
        <v>66.172041195340213</v>
      </c>
      <c r="H2" s="3">
        <v>55.407171502712913</v>
      </c>
    </row>
    <row r="3" spans="1:8" x14ac:dyDescent="0.25">
      <c r="A3" t="s">
        <v>24</v>
      </c>
      <c r="C3">
        <v>40</v>
      </c>
      <c r="D3">
        <f t="shared" ref="D3:D14" si="0">AVERAGE(E3:H3)</f>
        <v>55.694648930277147</v>
      </c>
      <c r="E3">
        <v>60.827448422082689</v>
      </c>
      <c r="F3" s="3">
        <v>52.761871670141311</v>
      </c>
      <c r="G3" s="3">
        <v>60.493897477624081</v>
      </c>
      <c r="H3" s="3">
        <v>48.695378151260513</v>
      </c>
    </row>
    <row r="4" spans="1:8" x14ac:dyDescent="0.25">
      <c r="A4" t="s">
        <v>25</v>
      </c>
      <c r="C4">
        <v>50</v>
      </c>
      <c r="D4">
        <f t="shared" si="0"/>
        <v>59.584164343396473</v>
      </c>
      <c r="E4">
        <v>58.498956158663873</v>
      </c>
      <c r="F4" s="3">
        <v>57.450007973210013</v>
      </c>
      <c r="G4" s="3">
        <v>64.569852941176464</v>
      </c>
      <c r="H4" s="3">
        <v>57.817840300535543</v>
      </c>
    </row>
    <row r="5" spans="1:8" x14ac:dyDescent="0.25">
      <c r="A5" t="s">
        <v>26</v>
      </c>
      <c r="C5">
        <v>60</v>
      </c>
      <c r="D5">
        <f t="shared" si="0"/>
        <v>50.037617327987178</v>
      </c>
      <c r="E5" s="2">
        <v>58.223371002644868</v>
      </c>
      <c r="F5" s="3">
        <v>47.140673690458527</v>
      </c>
      <c r="G5" s="3">
        <v>51.365805168986093</v>
      </c>
      <c r="H5" s="3">
        <v>43.420619449859217</v>
      </c>
    </row>
    <row r="6" spans="1:8" x14ac:dyDescent="0.25">
      <c r="A6" t="s">
        <v>27</v>
      </c>
      <c r="C6">
        <v>70</v>
      </c>
      <c r="D6">
        <f t="shared" si="0"/>
        <v>66.894796947695539</v>
      </c>
      <c r="E6">
        <v>65.788210526315794</v>
      </c>
      <c r="F6" s="3">
        <v>60.580232842139537</v>
      </c>
      <c r="G6" s="3">
        <v>66.491118254102517</v>
      </c>
      <c r="H6" s="3">
        <v>74.719626168224295</v>
      </c>
    </row>
    <row r="7" spans="1:8" x14ac:dyDescent="0.25">
      <c r="A7" t="s">
        <v>28</v>
      </c>
      <c r="C7">
        <v>80</v>
      </c>
      <c r="D7">
        <f t="shared" si="0"/>
        <v>61.908008499295079</v>
      </c>
      <c r="E7">
        <v>64.245559909947474</v>
      </c>
      <c r="F7" s="3">
        <v>58.462952556795379</v>
      </c>
      <c r="G7" s="3">
        <v>64.478914405010443</v>
      </c>
      <c r="H7" s="3">
        <v>60.444607125427027</v>
      </c>
    </row>
    <row r="8" spans="1:8" x14ac:dyDescent="0.25">
      <c r="A8" t="s">
        <v>29</v>
      </c>
      <c r="C8">
        <v>30</v>
      </c>
      <c r="D8">
        <f t="shared" si="0"/>
        <v>67.103506315209671</v>
      </c>
      <c r="E8">
        <v>70.088423602699436</v>
      </c>
      <c r="F8" s="3">
        <v>67.98386132695758</v>
      </c>
      <c r="G8" s="3">
        <v>68.051768323936457</v>
      </c>
      <c r="H8" s="3">
        <v>62.289972007245197</v>
      </c>
    </row>
    <row r="9" spans="1:8" x14ac:dyDescent="0.25">
      <c r="A9" t="s">
        <v>30</v>
      </c>
      <c r="C9">
        <v>40</v>
      </c>
      <c r="D9">
        <f t="shared" si="0"/>
        <v>61.143826332740872</v>
      </c>
      <c r="E9">
        <v>88.768272665829869</v>
      </c>
      <c r="F9" s="3">
        <v>52.253058398091873</v>
      </c>
      <c r="G9" s="3">
        <v>45.70044052863436</v>
      </c>
      <c r="H9" s="3">
        <v>57.853533738407421</v>
      </c>
    </row>
    <row r="10" spans="1:8" x14ac:dyDescent="0.25">
      <c r="A10" t="s">
        <v>31</v>
      </c>
      <c r="C10">
        <v>50</v>
      </c>
      <c r="D10">
        <f t="shared" si="0"/>
        <v>59.923822405388847</v>
      </c>
      <c r="E10">
        <v>95.130160951714487</v>
      </c>
      <c r="F10" s="3">
        <v>56.089587612577027</v>
      </c>
      <c r="G10" s="3">
        <v>41.488436632747458</v>
      </c>
      <c r="H10" s="3">
        <v>46.987104424516417</v>
      </c>
    </row>
    <row r="11" spans="1:8" x14ac:dyDescent="0.25">
      <c r="A11" t="s">
        <v>32</v>
      </c>
      <c r="C11">
        <v>60</v>
      </c>
      <c r="D11">
        <f t="shared" si="0"/>
        <v>86.858562085465579</v>
      </c>
      <c r="E11">
        <v>92.253937007874015</v>
      </c>
      <c r="F11" s="3">
        <v>77.692579505300358</v>
      </c>
      <c r="G11" s="3">
        <v>75.78849771566783</v>
      </c>
      <c r="H11" s="3">
        <v>101.6992341130201</v>
      </c>
    </row>
    <row r="12" spans="1:8" x14ac:dyDescent="0.25">
      <c r="A12" t="s">
        <v>33</v>
      </c>
      <c r="C12">
        <v>70</v>
      </c>
      <c r="D12">
        <f t="shared" si="0"/>
        <v>92.158630651169744</v>
      </c>
      <c r="E12">
        <v>89.203252032520325</v>
      </c>
      <c r="F12" s="3">
        <v>78.01416122004359</v>
      </c>
      <c r="G12" s="3">
        <v>80.14256825075833</v>
      </c>
      <c r="H12" s="3">
        <v>121.2745411013567</v>
      </c>
    </row>
    <row r="13" spans="1:8" x14ac:dyDescent="0.25">
      <c r="A13" t="s">
        <v>34</v>
      </c>
      <c r="C13">
        <v>80</v>
      </c>
      <c r="D13">
        <f t="shared" si="0"/>
        <v>100.73662693984787</v>
      </c>
      <c r="E13" s="2">
        <v>84.680317040951124</v>
      </c>
      <c r="F13" s="3">
        <v>92.488715876613782</v>
      </c>
      <c r="G13" s="3">
        <v>95.391030133146458</v>
      </c>
      <c r="H13" s="3">
        <v>130.3864447086801</v>
      </c>
    </row>
    <row r="14" spans="1:8" x14ac:dyDescent="0.25">
      <c r="A14" t="s">
        <v>35</v>
      </c>
      <c r="D14">
        <f t="shared" si="0"/>
        <v>70.057900357210158</v>
      </c>
      <c r="E14">
        <v>70.269813772195761</v>
      </c>
      <c r="F14" s="3">
        <v>69.049858162124991</v>
      </c>
      <c r="G14" s="3">
        <v>79.625</v>
      </c>
      <c r="H14" s="3">
        <v>61.286929494519889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寶特瓶</vt:lpstr>
      <vt:lpstr>紙杯</vt:lpstr>
      <vt:lpstr>保麗龍</vt:lpstr>
      <vt:lpstr>養樂多</vt:lpstr>
      <vt:lpstr>去離子養樂多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SC1</dc:creator>
  <cp:lastModifiedBy>SC1</cp:lastModifiedBy>
  <dcterms:created xsi:type="dcterms:W3CDTF">2026-09-24T06:29:31Z</dcterms:created>
  <dcterms:modified xsi:type="dcterms:W3CDTF">2026-10-19T06:35:56Z</dcterms:modified>
</cp:coreProperties>
</file>