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9_21\"/>
    </mc:Choice>
  </mc:AlternateContent>
  <xr:revisionPtr revIDLastSave="0" documentId="13_ncr:1_{249EC9D6-9880-4DE4-A7D9-49608C5C8DEF}" xr6:coauthVersionLast="47" xr6:coauthVersionMax="47" xr10:uidLastSave="{00000000-0000-0000-0000-000000000000}"/>
  <bookViews>
    <workbookView xWindow="-120" yWindow="-120" windowWidth="20730" windowHeight="11160" tabRatio="795" firstSheet="1" activeTab="9" xr2:uid="{00000000-000D-0000-FFFF-FFFF00000000}"/>
  </bookViews>
  <sheets>
    <sheet name="溫度" sheetId="36" r:id="rId1"/>
    <sheet name="80度空白" sheetId="50" r:id="rId2"/>
    <sheet name="60度空白" sheetId="61" r:id="rId3"/>
    <sheet name="40度空白" sheetId="62" r:id="rId4"/>
    <sheet name="紙杯60度" sheetId="39" r:id="rId5"/>
    <sheet name="紙杯40度" sheetId="41" r:id="rId6"/>
    <sheet name="保麗龍球(大)80" sheetId="57" r:id="rId7"/>
    <sheet name="保麗龍球(大)60 " sheetId="60" r:id="rId8"/>
    <sheet name="保麗龍球(大)40" sheetId="58" r:id="rId9"/>
    <sheet name="保麗龍球(小)80" sheetId="38" r:id="rId10"/>
    <sheet name="保麗龍球(小)60" sheetId="40" r:id="rId11"/>
    <sheet name="保麗龍球(小)40" sheetId="42" r:id="rId12"/>
    <sheet name="PLXDAQ_new_Settings" sheetId="6" state="hidden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" i="38" l="1"/>
  <c r="H3" i="38" s="1"/>
  <c r="H2" i="42"/>
  <c r="H3" i="42" s="1"/>
  <c r="H2" i="40"/>
  <c r="H3" i="40" s="1"/>
  <c r="H2" i="58"/>
  <c r="H3" i="58" s="1"/>
  <c r="H2" i="60"/>
  <c r="H3" i="60" s="1"/>
  <c r="H2" i="57"/>
  <c r="H3" i="57" s="1"/>
  <c r="H2" i="41"/>
  <c r="H3" i="41" s="1"/>
  <c r="H2" i="39"/>
  <c r="H3" i="39" s="1"/>
  <c r="H2" i="62"/>
  <c r="H3" i="62" s="1"/>
  <c r="H2" i="61"/>
  <c r="H3" i="61" s="1"/>
  <c r="H3" i="50"/>
  <c r="H2" i="50"/>
</calcChain>
</file>

<file path=xl/sharedStrings.xml><?xml version="1.0" encoding="utf-8"?>
<sst xmlns="http://schemas.openxmlformats.org/spreadsheetml/2006/main" count="759" uniqueCount="40">
  <si>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</si>
  <si>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</si>
  <si>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</si>
  <si>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</si>
  <si>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</si>
  <si>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</si>
  <si>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</si>
  <si>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</si>
  <si>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</si>
  <si>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</si>
  <si>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</si>
  <si>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</si>
  <si>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</si>
  <si>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</si>
  <si>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</si>
  <si>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</si>
  <si>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</si>
  <si>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NULL</t>
  </si>
  <si>
    <t>Error</t>
  </si>
  <si>
    <t>Time</t>
    <phoneticPr fontId="4" type="noConversion"/>
  </si>
  <si>
    <t>Timer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</si>
  <si>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</si>
  <si>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</si>
  <si>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</si>
  <si>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</si>
  <si>
    <t>A0</t>
    <phoneticPr fontId="4" type="noConversion"/>
  </si>
  <si>
    <t>28.00 C</t>
  </si>
  <si>
    <t>None</t>
    <phoneticPr fontId="4" type="noConversion"/>
  </si>
  <si>
    <t>Error</t>
    <phoneticPr fontId="4" type="noConversion"/>
  </si>
  <si>
    <t>31.00 C</t>
  </si>
  <si>
    <t>31.00 C</t>
    <phoneticPr fontId="4" type="noConversion"/>
  </si>
  <si>
    <t>NULL</t>
    <phoneticPr fontId="4" type="noConversion"/>
  </si>
  <si>
    <t>29.00 C</t>
  </si>
  <si>
    <t>Time</t>
  </si>
  <si>
    <t>Timer</t>
  </si>
  <si>
    <t>A0</t>
  </si>
  <si>
    <t>T</t>
  </si>
  <si>
    <t>H</t>
  </si>
  <si>
    <t>Error Code</t>
  </si>
  <si>
    <t>保麗龍球(小)80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</si>
</sst>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1" fillId="0" borderId="0" xfId="0" applyNumberFormat="1" applyFon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F22"/>
  <sheetViews>
    <sheetView workbookViewId="0">
      <selection activeCell="D10" sqref="D10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6" x14ac:dyDescent="0.2">
      <c r="A1" s="5" t="s">
        <v>19</v>
      </c>
      <c r="B1" s="7" t="s">
        <v>20</v>
      </c>
      <c r="C1" s="5" t="s">
        <v>25</v>
      </c>
      <c r="D1" s="5" t="s">
        <v>21</v>
      </c>
      <c r="E1" s="5" t="s">
        <v>22</v>
      </c>
      <c r="F1" s="5" t="s">
        <v>23</v>
      </c>
    </row>
    <row r="2" spans="1:6" x14ac:dyDescent="0.2">
      <c r="A2" s="8">
        <v>0.55322916666666666</v>
      </c>
      <c r="B2" s="6">
        <v>1.8046880000000001</v>
      </c>
      <c r="C2" s="10">
        <v>0</v>
      </c>
      <c r="D2" s="10" t="s">
        <v>27</v>
      </c>
      <c r="E2" s="10" t="s">
        <v>27</v>
      </c>
      <c r="F2" s="10" t="s">
        <v>27</v>
      </c>
    </row>
    <row r="3" spans="1:6" x14ac:dyDescent="0.2">
      <c r="A3" s="8">
        <v>0.5532407407407407</v>
      </c>
      <c r="B3" s="6">
        <v>2.2578130000000001</v>
      </c>
      <c r="C3" s="10">
        <v>0</v>
      </c>
      <c r="D3" s="10" t="s">
        <v>27</v>
      </c>
      <c r="E3" s="10" t="s">
        <v>27</v>
      </c>
      <c r="F3" s="10" t="s">
        <v>27</v>
      </c>
    </row>
    <row r="4" spans="1:6" x14ac:dyDescent="0.2">
      <c r="A4" s="8">
        <v>0.5532407407407407</v>
      </c>
      <c r="B4" s="6">
        <v>2.7578130000000001</v>
      </c>
      <c r="C4" s="10">
        <v>1</v>
      </c>
      <c r="D4" s="10" t="s">
        <v>27</v>
      </c>
      <c r="E4" s="10" t="s">
        <v>27</v>
      </c>
      <c r="F4" s="10" t="s">
        <v>27</v>
      </c>
    </row>
    <row r="5" spans="1:6" x14ac:dyDescent="0.2">
      <c r="A5" s="8">
        <v>0.55325231481481485</v>
      </c>
      <c r="B5" s="6">
        <v>3.7851560000000002</v>
      </c>
      <c r="C5" s="10">
        <v>1</v>
      </c>
      <c r="D5" s="10" t="s">
        <v>28</v>
      </c>
      <c r="E5" s="10" t="s">
        <v>28</v>
      </c>
      <c r="F5" s="10">
        <v>-237</v>
      </c>
    </row>
    <row r="6" spans="1:6" x14ac:dyDescent="0.2">
      <c r="A6" s="8">
        <v>0.55326388888888889</v>
      </c>
      <c r="B6" s="6">
        <v>4.3007809999999997</v>
      </c>
      <c r="C6" s="10">
        <v>0</v>
      </c>
      <c r="D6" s="10" t="s">
        <v>28</v>
      </c>
      <c r="E6" s="10" t="s">
        <v>28</v>
      </c>
      <c r="F6" s="10">
        <v>4112</v>
      </c>
    </row>
    <row r="7" spans="1:6" x14ac:dyDescent="0.2">
      <c r="A7" s="8">
        <v>0.55326388888888889</v>
      </c>
      <c r="B7" s="6">
        <v>4.8476559999999997</v>
      </c>
      <c r="C7" s="10">
        <v>0</v>
      </c>
      <c r="D7" s="10" t="s">
        <v>28</v>
      </c>
      <c r="E7" s="9" t="s">
        <v>18</v>
      </c>
      <c r="F7" s="10">
        <v>21</v>
      </c>
    </row>
    <row r="8" spans="1:6" x14ac:dyDescent="0.2">
      <c r="A8" s="8">
        <v>0.55327546296296293</v>
      </c>
      <c r="B8" s="6">
        <v>5.3632809999999997</v>
      </c>
      <c r="C8" s="10">
        <v>0</v>
      </c>
      <c r="D8" s="10" t="s">
        <v>28</v>
      </c>
      <c r="E8" s="10" t="s">
        <v>28</v>
      </c>
      <c r="F8" s="10">
        <v>4112</v>
      </c>
    </row>
    <row r="9" spans="1:6" x14ac:dyDescent="0.2">
      <c r="A9" s="8">
        <v>0.55328703703703708</v>
      </c>
      <c r="B9" s="6">
        <v>5.8789059999999997</v>
      </c>
      <c r="C9" s="10">
        <v>1</v>
      </c>
      <c r="D9" s="10" t="s">
        <v>28</v>
      </c>
      <c r="E9" s="10" t="s">
        <v>28</v>
      </c>
      <c r="F9" s="10">
        <v>3088</v>
      </c>
    </row>
    <row r="10" spans="1:6" x14ac:dyDescent="0.2">
      <c r="A10" s="8">
        <v>0.55328703703703708</v>
      </c>
      <c r="B10" s="6">
        <v>6.4257809999999997</v>
      </c>
      <c r="C10" s="10">
        <v>1</v>
      </c>
      <c r="D10" s="10" t="s">
        <v>30</v>
      </c>
      <c r="E10" s="9">
        <v>0.6</v>
      </c>
      <c r="F10" s="10" t="s">
        <v>31</v>
      </c>
    </row>
    <row r="11" spans="1:6" x14ac:dyDescent="0.2">
      <c r="A11" s="8">
        <v>0.55329861111111112</v>
      </c>
      <c r="B11" s="6">
        <v>6.9414059999999997</v>
      </c>
      <c r="C11" s="10">
        <v>0</v>
      </c>
      <c r="D11" s="10" t="s">
        <v>27</v>
      </c>
      <c r="E11" s="10" t="s">
        <v>27</v>
      </c>
      <c r="F11" s="10" t="s">
        <v>27</v>
      </c>
    </row>
    <row r="12" spans="1:6" x14ac:dyDescent="0.2">
      <c r="A12" s="8">
        <v>0.55329861111111112</v>
      </c>
      <c r="B12" s="6">
        <v>7.4414059999999997</v>
      </c>
      <c r="C12" s="10">
        <v>0</v>
      </c>
      <c r="D12" s="10" t="s">
        <v>27</v>
      </c>
      <c r="E12" s="9" t="s">
        <v>24</v>
      </c>
      <c r="F12" s="10" t="s">
        <v>27</v>
      </c>
    </row>
    <row r="13" spans="1:6" x14ac:dyDescent="0.2">
      <c r="A13" s="8">
        <v>0.55331018518518515</v>
      </c>
      <c r="B13" s="6">
        <v>7.9414059999999997</v>
      </c>
      <c r="C13" s="10">
        <v>4</v>
      </c>
      <c r="D13" s="10" t="s">
        <v>27</v>
      </c>
      <c r="E13" s="10" t="s">
        <v>27</v>
      </c>
      <c r="F13" s="10" t="s">
        <v>27</v>
      </c>
    </row>
    <row r="14" spans="1:6" x14ac:dyDescent="0.2">
      <c r="A14" s="8">
        <v>0.55331018518518515</v>
      </c>
      <c r="B14" s="6">
        <v>8.4414060000000006</v>
      </c>
      <c r="C14" s="10">
        <v>2</v>
      </c>
      <c r="D14" s="10" t="s">
        <v>27</v>
      </c>
      <c r="E14" s="10" t="s">
        <v>27</v>
      </c>
      <c r="F14" s="10" t="s">
        <v>27</v>
      </c>
    </row>
    <row r="15" spans="1:6" x14ac:dyDescent="0.2">
      <c r="A15" s="8">
        <v>0.5533217592592593</v>
      </c>
      <c r="B15" s="6">
        <v>8.9726560000000006</v>
      </c>
      <c r="C15" s="10">
        <v>0</v>
      </c>
      <c r="D15" s="10" t="s">
        <v>30</v>
      </c>
      <c r="E15" s="9">
        <v>0.6</v>
      </c>
      <c r="F15" s="10" t="s">
        <v>31</v>
      </c>
    </row>
    <row r="16" spans="1:6" x14ac:dyDescent="0.2">
      <c r="A16" s="8">
        <v>0.5533217592592593</v>
      </c>
      <c r="B16" s="6">
        <v>9.4882810000000006</v>
      </c>
      <c r="C16" s="10">
        <v>0</v>
      </c>
      <c r="D16" s="10" t="s">
        <v>27</v>
      </c>
      <c r="E16" s="10" t="s">
        <v>27</v>
      </c>
      <c r="F16" s="10" t="s">
        <v>27</v>
      </c>
    </row>
    <row r="17" spans="1:6" x14ac:dyDescent="0.2">
      <c r="A17" s="8">
        <v>0.55333333333333334</v>
      </c>
      <c r="B17" s="6">
        <v>9.9882810000000006</v>
      </c>
      <c r="C17" s="10">
        <v>0</v>
      </c>
      <c r="D17" s="10" t="s">
        <v>27</v>
      </c>
      <c r="E17" s="10" t="s">
        <v>27</v>
      </c>
      <c r="F17" s="10" t="s">
        <v>24</v>
      </c>
    </row>
    <row r="18" spans="1:6" x14ac:dyDescent="0.2">
      <c r="A18" s="8">
        <v>0.55333333333333334</v>
      </c>
      <c r="B18" s="6">
        <v>10.48828</v>
      </c>
      <c r="C18" s="10">
        <v>3</v>
      </c>
      <c r="D18" s="10" t="s">
        <v>27</v>
      </c>
      <c r="E18" s="10" t="s">
        <v>27</v>
      </c>
      <c r="F18" s="10" t="s">
        <v>24</v>
      </c>
    </row>
    <row r="19" spans="1:6" x14ac:dyDescent="0.2">
      <c r="A19" s="8">
        <v>0.55334490740740738</v>
      </c>
      <c r="B19" s="6">
        <v>10.98828</v>
      </c>
      <c r="C19" s="10">
        <v>0</v>
      </c>
      <c r="D19" s="10" t="s">
        <v>24</v>
      </c>
      <c r="E19" s="10" t="s">
        <v>24</v>
      </c>
      <c r="F19" s="10" t="s">
        <v>24</v>
      </c>
    </row>
    <row r="20" spans="1:6" x14ac:dyDescent="0.2">
      <c r="A20" s="8">
        <v>0.55334490740740738</v>
      </c>
      <c r="B20" s="6">
        <v>11.51953</v>
      </c>
      <c r="C20" s="10">
        <v>0</v>
      </c>
      <c r="D20" s="10" t="s">
        <v>29</v>
      </c>
      <c r="E20" s="9">
        <v>0.6</v>
      </c>
      <c r="F20" s="10" t="s">
        <v>17</v>
      </c>
    </row>
    <row r="21" spans="1:6" x14ac:dyDescent="0.2">
      <c r="A21" s="8">
        <v>0.55335648148148153</v>
      </c>
      <c r="B21" s="6">
        <v>12.035159999999999</v>
      </c>
      <c r="C21" s="10">
        <v>1</v>
      </c>
      <c r="D21" s="10" t="s">
        <v>24</v>
      </c>
      <c r="E21" s="10" t="s">
        <v>24</v>
      </c>
      <c r="F21" s="10" t="s">
        <v>24</v>
      </c>
    </row>
    <row r="22" spans="1:6" x14ac:dyDescent="0.2">
      <c r="A22" s="8">
        <v>0.55335648148148153</v>
      </c>
      <c r="B22" s="6">
        <v>12.535159999999999</v>
      </c>
      <c r="C22" s="4">
        <v>5</v>
      </c>
      <c r="D22" s="4" t="s">
        <v>24</v>
      </c>
      <c r="E22" s="4" t="s">
        <v>24</v>
      </c>
      <c r="F22" s="4" t="s">
        <v>24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C352D-C6A6-4D7C-B68E-A72CFD7B802E}">
  <dimension ref="A1:P47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27.85546875" customWidth="1"/>
  </cols>
  <sheetData>
    <row r="1" spans="1:16" x14ac:dyDescent="0.2">
      <c r="A1" s="5" t="s">
        <v>19</v>
      </c>
      <c r="B1" s="7" t="s">
        <v>20</v>
      </c>
      <c r="C1" s="5" t="s">
        <v>25</v>
      </c>
      <c r="D1" s="5" t="s">
        <v>21</v>
      </c>
      <c r="E1" s="5" t="s">
        <v>22</v>
      </c>
      <c r="F1" s="5" t="s">
        <v>23</v>
      </c>
    </row>
    <row r="2" spans="1:16" x14ac:dyDescent="0.2">
      <c r="A2" s="8">
        <v>0.55465277777777777</v>
      </c>
      <c r="B2" s="6">
        <v>1.796875</v>
      </c>
      <c r="C2" s="10">
        <v>778</v>
      </c>
      <c r="D2" s="10" t="s">
        <v>24</v>
      </c>
      <c r="E2" s="10" t="s">
        <v>24</v>
      </c>
      <c r="F2" s="10" t="s">
        <v>24</v>
      </c>
      <c r="G2" s="11"/>
      <c r="H2" s="11">
        <f>AVERAGE(C2:C21)</f>
        <v>780.5</v>
      </c>
      <c r="I2" s="11"/>
      <c r="J2" s="11"/>
      <c r="K2" s="11"/>
      <c r="L2" s="11"/>
      <c r="M2" s="11"/>
      <c r="N2" s="11"/>
      <c r="O2" s="11"/>
      <c r="P2" s="11"/>
    </row>
    <row r="3" spans="1:16" x14ac:dyDescent="0.2">
      <c r="A3" s="8">
        <v>0.55466435185185181</v>
      </c>
      <c r="B3" s="6">
        <v>2.265625</v>
      </c>
      <c r="C3" s="10">
        <v>778</v>
      </c>
      <c r="D3" s="10" t="s">
        <v>24</v>
      </c>
      <c r="E3" s="10" t="s">
        <v>24</v>
      </c>
      <c r="F3" s="10" t="s">
        <v>24</v>
      </c>
      <c r="G3" s="11"/>
      <c r="H3" s="11">
        <f>91*(1023-H2)/H2</f>
        <v>28.27354260089686</v>
      </c>
      <c r="I3" s="11"/>
      <c r="J3" s="11"/>
      <c r="K3" s="11"/>
      <c r="L3" s="11"/>
      <c r="M3" s="11"/>
      <c r="N3" s="11"/>
      <c r="O3" s="11"/>
      <c r="P3" s="11"/>
    </row>
    <row r="4" spans="1:16" x14ac:dyDescent="0.2">
      <c r="A4" s="8">
        <v>0.55466435185185181</v>
      </c>
      <c r="B4" s="6">
        <v>2.765625</v>
      </c>
      <c r="C4" s="10">
        <v>779</v>
      </c>
      <c r="D4" s="10" t="s">
        <v>24</v>
      </c>
      <c r="E4" s="10" t="s">
        <v>24</v>
      </c>
      <c r="F4" s="10" t="s">
        <v>24</v>
      </c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">
      <c r="A5" s="8">
        <v>0.55467592592592596</v>
      </c>
      <c r="B5" s="6">
        <v>3.296875</v>
      </c>
      <c r="C5" s="10">
        <v>781</v>
      </c>
      <c r="D5" s="10" t="s">
        <v>18</v>
      </c>
      <c r="E5" s="10" t="s">
        <v>18</v>
      </c>
      <c r="F5" s="10">
        <v>21</v>
      </c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x14ac:dyDescent="0.2">
      <c r="A6" s="8">
        <v>0.55467592592592596</v>
      </c>
      <c r="B6" s="6">
        <v>3.8164060000000002</v>
      </c>
      <c r="C6" s="10">
        <v>778</v>
      </c>
      <c r="D6" s="10" t="s">
        <v>18</v>
      </c>
      <c r="E6" s="10" t="s">
        <v>18</v>
      </c>
      <c r="F6" s="10">
        <v>4112</v>
      </c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 x14ac:dyDescent="0.2">
      <c r="A7" s="8">
        <v>0.5546875</v>
      </c>
      <c r="B7" s="6">
        <v>4.3320309999999997</v>
      </c>
      <c r="C7" s="10">
        <v>779</v>
      </c>
      <c r="D7" s="10" t="s">
        <v>18</v>
      </c>
      <c r="E7" s="10" t="s">
        <v>18</v>
      </c>
      <c r="F7" s="10">
        <v>4112</v>
      </c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 x14ac:dyDescent="0.2">
      <c r="A8" s="8">
        <v>0.5546875</v>
      </c>
      <c r="B8" s="6">
        <v>4.8789059999999997</v>
      </c>
      <c r="C8" s="10">
        <v>779</v>
      </c>
      <c r="D8" s="10" t="s">
        <v>29</v>
      </c>
      <c r="E8" s="9">
        <v>0.6</v>
      </c>
      <c r="F8" s="10" t="s">
        <v>17</v>
      </c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x14ac:dyDescent="0.2">
      <c r="A9" s="8">
        <v>0.55469907407407404</v>
      </c>
      <c r="B9" s="6">
        <v>5.3945309999999997</v>
      </c>
      <c r="C9" s="10">
        <v>778</v>
      </c>
      <c r="D9" s="10" t="s">
        <v>24</v>
      </c>
      <c r="E9" s="10" t="s">
        <v>24</v>
      </c>
      <c r="F9" s="10" t="s">
        <v>24</v>
      </c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x14ac:dyDescent="0.2">
      <c r="A10" s="8">
        <v>0.55469907407407404</v>
      </c>
      <c r="B10" s="6">
        <v>5.8945309999999997</v>
      </c>
      <c r="C10" s="10">
        <v>781</v>
      </c>
      <c r="D10" s="10" t="s">
        <v>24</v>
      </c>
      <c r="E10" s="10" t="s">
        <v>24</v>
      </c>
      <c r="F10" s="10" t="s">
        <v>24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 x14ac:dyDescent="0.2">
      <c r="A11" s="8">
        <v>0.55471064814814819</v>
      </c>
      <c r="B11" s="6">
        <v>6.3945309999999997</v>
      </c>
      <c r="C11" s="10">
        <v>779</v>
      </c>
      <c r="D11" s="10" t="s">
        <v>24</v>
      </c>
      <c r="E11" s="10" t="s">
        <v>24</v>
      </c>
      <c r="F11" s="10" t="s">
        <v>24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 x14ac:dyDescent="0.2">
      <c r="A12" s="8">
        <v>0.55471064814814819</v>
      </c>
      <c r="B12" s="6">
        <v>6.8945309999999997</v>
      </c>
      <c r="C12" s="10">
        <v>779</v>
      </c>
      <c r="D12" s="10" t="s">
        <v>24</v>
      </c>
      <c r="E12" s="10" t="s">
        <v>24</v>
      </c>
      <c r="F12" s="10" t="s">
        <v>24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 x14ac:dyDescent="0.2">
      <c r="A13" s="8">
        <v>0.55472222222222223</v>
      </c>
      <c r="B13" s="6">
        <v>7.4257809999999997</v>
      </c>
      <c r="C13" s="10">
        <v>782</v>
      </c>
      <c r="D13" s="10" t="s">
        <v>29</v>
      </c>
      <c r="E13" s="9">
        <v>0.6</v>
      </c>
      <c r="F13" s="10" t="s">
        <v>17</v>
      </c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x14ac:dyDescent="0.2">
      <c r="A14" s="8">
        <v>0.55472222222222223</v>
      </c>
      <c r="B14" s="6">
        <v>7.9414059999999997</v>
      </c>
      <c r="C14" s="10">
        <v>782</v>
      </c>
      <c r="D14" s="10" t="s">
        <v>24</v>
      </c>
      <c r="E14" s="10" t="s">
        <v>24</v>
      </c>
      <c r="F14" s="10" t="s">
        <v>24</v>
      </c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x14ac:dyDescent="0.2">
      <c r="A15" s="8">
        <v>0.55473379629629627</v>
      </c>
      <c r="B15" s="6">
        <v>8.4414060000000006</v>
      </c>
      <c r="C15" s="10">
        <v>782</v>
      </c>
      <c r="D15" s="10" t="s">
        <v>24</v>
      </c>
      <c r="E15" s="10" t="s">
        <v>24</v>
      </c>
      <c r="F15" s="10" t="s">
        <v>24</v>
      </c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x14ac:dyDescent="0.2">
      <c r="A16" s="8">
        <v>0.55473379629629627</v>
      </c>
      <c r="B16" s="6">
        <v>8.9414060000000006</v>
      </c>
      <c r="C16" s="10">
        <v>781</v>
      </c>
      <c r="D16" s="10" t="s">
        <v>24</v>
      </c>
      <c r="E16" s="10" t="s">
        <v>24</v>
      </c>
      <c r="F16" s="10" t="s">
        <v>24</v>
      </c>
      <c r="G16" s="11"/>
      <c r="H16" s="11"/>
      <c r="I16" s="11"/>
      <c r="J16" s="11"/>
      <c r="K16" s="11"/>
      <c r="L16" s="11"/>
      <c r="M16" s="11"/>
      <c r="N16" s="11"/>
      <c r="O16" s="11"/>
      <c r="P16" s="12"/>
    </row>
    <row r="17" spans="1:16" x14ac:dyDescent="0.2">
      <c r="A17" s="8">
        <v>0.55474537037037042</v>
      </c>
      <c r="B17" s="6">
        <v>9.4414060000000006</v>
      </c>
      <c r="C17" s="10">
        <v>783</v>
      </c>
      <c r="D17" s="10" t="s">
        <v>24</v>
      </c>
      <c r="E17" s="10" t="s">
        <v>24</v>
      </c>
      <c r="F17" s="10" t="s">
        <v>24</v>
      </c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x14ac:dyDescent="0.2">
      <c r="A18" s="8">
        <v>0.55474537037037042</v>
      </c>
      <c r="B18" s="6">
        <v>9.9609380000000005</v>
      </c>
      <c r="C18" s="10">
        <v>783</v>
      </c>
      <c r="D18" s="10" t="s">
        <v>29</v>
      </c>
      <c r="E18" s="9">
        <v>0.6</v>
      </c>
      <c r="F18" s="10" t="s">
        <v>17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x14ac:dyDescent="0.2">
      <c r="A19" s="8">
        <v>0.55475694444444446</v>
      </c>
      <c r="B19" s="6">
        <v>10.48438</v>
      </c>
      <c r="C19" s="10">
        <v>784</v>
      </c>
      <c r="D19" s="10" t="s">
        <v>24</v>
      </c>
      <c r="E19" s="10" t="s">
        <v>24</v>
      </c>
      <c r="F19" s="10" t="s">
        <v>24</v>
      </c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x14ac:dyDescent="0.2">
      <c r="A20" s="8">
        <v>0.55475694444444446</v>
      </c>
      <c r="B20" s="6">
        <v>10.98828</v>
      </c>
      <c r="C20" s="10">
        <v>782</v>
      </c>
      <c r="D20" s="10" t="s">
        <v>24</v>
      </c>
      <c r="E20" s="10" t="s">
        <v>24</v>
      </c>
      <c r="F20" s="10" t="s">
        <v>24</v>
      </c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x14ac:dyDescent="0.2">
      <c r="A21" s="8">
        <v>0.55476851851851849</v>
      </c>
      <c r="B21" s="6">
        <v>11.492190000000001</v>
      </c>
      <c r="C21" s="10">
        <v>782</v>
      </c>
      <c r="D21" s="10" t="s">
        <v>24</v>
      </c>
      <c r="E21" s="10" t="s">
        <v>24</v>
      </c>
      <c r="F21" s="10" t="s">
        <v>24</v>
      </c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x14ac:dyDescent="0.2">
      <c r="A22" s="10"/>
      <c r="C22" s="10"/>
      <c r="D22" s="10"/>
      <c r="E22" s="10"/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x14ac:dyDescent="0.2">
      <c r="A23" s="10"/>
      <c r="C23" s="10"/>
      <c r="D23" s="10"/>
      <c r="E23" s="10"/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x14ac:dyDescent="0.2">
      <c r="A24" s="10"/>
      <c r="C24" s="10"/>
      <c r="D24" s="10"/>
      <c r="E24" s="10"/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x14ac:dyDescent="0.2">
      <c r="A25" s="10"/>
      <c r="C25" s="10"/>
      <c r="D25" s="10"/>
      <c r="E25" s="10"/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x14ac:dyDescent="0.2">
      <c r="A26" s="10"/>
      <c r="C26" s="10"/>
      <c r="D26" s="10"/>
      <c r="E26" s="10"/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x14ac:dyDescent="0.2">
      <c r="A27" s="10"/>
      <c r="C27" s="10"/>
      <c r="D27" s="10"/>
      <c r="E27" s="10"/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x14ac:dyDescent="0.2">
      <c r="A28" s="10"/>
      <c r="C28" s="10"/>
      <c r="D28" s="10"/>
      <c r="E28" s="10"/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x14ac:dyDescent="0.2">
      <c r="A29" s="10"/>
      <c r="C29" s="10"/>
      <c r="D29" s="10"/>
      <c r="E29" s="10"/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x14ac:dyDescent="0.2">
      <c r="A30" s="10"/>
      <c r="C30" s="10"/>
      <c r="D30" s="10"/>
      <c r="E30" s="10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x14ac:dyDescent="0.2">
      <c r="A31" s="10"/>
      <c r="C31" s="10"/>
      <c r="D31" s="10"/>
      <c r="E31" s="10"/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x14ac:dyDescent="0.2">
      <c r="A32" s="10"/>
      <c r="C32" s="10"/>
      <c r="D32" s="10"/>
      <c r="E32" s="10"/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 x14ac:dyDescent="0.2">
      <c r="A33" s="10"/>
      <c r="C33" s="10"/>
      <c r="D33" s="10"/>
      <c r="E33" s="10"/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 x14ac:dyDescent="0.2">
      <c r="A34" s="10"/>
      <c r="C34" s="10"/>
      <c r="D34" s="10"/>
      <c r="E34" s="10"/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 x14ac:dyDescent="0.2">
      <c r="A35" s="10"/>
      <c r="C35" s="10"/>
      <c r="D35" s="10"/>
      <c r="E35" s="10"/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 x14ac:dyDescent="0.2">
      <c r="A36" s="10"/>
      <c r="C36" s="10"/>
      <c r="D36" s="10"/>
      <c r="E36" s="10"/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1:16" x14ac:dyDescent="0.2">
      <c r="A37" s="10"/>
      <c r="C37" s="10"/>
      <c r="D37" s="10"/>
      <c r="E37" s="10"/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1:16" x14ac:dyDescent="0.2">
      <c r="A38" s="10"/>
      <c r="C38" s="10"/>
      <c r="D38" s="10"/>
      <c r="E38" s="10"/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1:16" x14ac:dyDescent="0.2">
      <c r="A39" s="10"/>
      <c r="C39" s="10"/>
      <c r="D39" s="10"/>
      <c r="E39" s="10"/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1:16" x14ac:dyDescent="0.2">
      <c r="A40" s="10"/>
      <c r="C40" s="10"/>
      <c r="D40" s="10"/>
      <c r="E40" s="10"/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</row>
    <row r="41" spans="1:16" x14ac:dyDescent="0.2">
      <c r="A41" s="10"/>
      <c r="C41" s="10"/>
      <c r="D41" s="10"/>
      <c r="E41" s="10"/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</row>
    <row r="42" spans="1:16" x14ac:dyDescent="0.2">
      <c r="A42" s="10"/>
      <c r="C42" s="10"/>
      <c r="D42" s="10"/>
      <c r="E42" s="10"/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</row>
    <row r="43" spans="1:16" x14ac:dyDescent="0.2">
      <c r="A43" s="10"/>
      <c r="C43" s="10"/>
      <c r="D43" s="10"/>
      <c r="E43" s="10"/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</row>
    <row r="44" spans="1:16" x14ac:dyDescent="0.2">
      <c r="A44" s="10"/>
      <c r="C44" s="10"/>
      <c r="D44" s="10"/>
      <c r="E44" s="10"/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</row>
    <row r="45" spans="1:16" x14ac:dyDescent="0.2">
      <c r="A45" s="10"/>
      <c r="C45" s="10"/>
      <c r="D45" s="10"/>
      <c r="E45" s="10"/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</row>
    <row r="46" spans="1:16" x14ac:dyDescent="0.2">
      <c r="A46" s="10"/>
      <c r="C46" s="10"/>
      <c r="D46" s="10"/>
      <c r="E46" s="10"/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</row>
    <row r="47" spans="1:16" x14ac:dyDescent="0.2">
      <c r="A47" s="10"/>
      <c r="C47" s="10"/>
      <c r="D47" s="10"/>
      <c r="E47" s="10"/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D213A-0846-4D56-8099-15FC4DF20BC8}">
  <dimension ref="A1:H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33</v>
      </c>
      <c r="B1" s="7" t="s">
        <v>34</v>
      </c>
      <c r="C1" s="5" t="s">
        <v>35</v>
      </c>
      <c r="D1" s="5" t="s">
        <v>36</v>
      </c>
      <c r="E1" s="5" t="s">
        <v>37</v>
      </c>
      <c r="F1" s="5" t="s">
        <v>38</v>
      </c>
    </row>
    <row r="2" spans="1:8" x14ac:dyDescent="0.2">
      <c r="A2" s="8">
        <v>0.59827546296296297</v>
      </c>
      <c r="B2" s="6">
        <v>1.796875</v>
      </c>
      <c r="C2" s="4">
        <v>858</v>
      </c>
      <c r="D2" s="4" t="s">
        <v>24</v>
      </c>
      <c r="E2" s="4" t="s">
        <v>24</v>
      </c>
      <c r="F2" s="4" t="s">
        <v>24</v>
      </c>
      <c r="H2" s="11">
        <f>AVERAGE(C2:C21)</f>
        <v>839.05</v>
      </c>
    </row>
    <row r="3" spans="1:8" x14ac:dyDescent="0.2">
      <c r="A3" s="8">
        <v>0.59827546296296297</v>
      </c>
      <c r="B3" s="6">
        <v>2.25</v>
      </c>
      <c r="C3" s="4">
        <v>852</v>
      </c>
      <c r="D3" s="4" t="s">
        <v>24</v>
      </c>
      <c r="E3" s="4" t="s">
        <v>24</v>
      </c>
      <c r="F3" s="4" t="s">
        <v>24</v>
      </c>
      <c r="H3" s="11">
        <f>91*(1023-H2)/H2</f>
        <v>19.95047970919493</v>
      </c>
    </row>
    <row r="4" spans="1:8" x14ac:dyDescent="0.2">
      <c r="A4" s="8">
        <v>0.59828703703703701</v>
      </c>
      <c r="B4" s="6">
        <v>2.7539060000000002</v>
      </c>
      <c r="C4" s="4">
        <v>847</v>
      </c>
      <c r="D4" s="4" t="s">
        <v>24</v>
      </c>
      <c r="E4" s="4" t="s">
        <v>24</v>
      </c>
      <c r="F4" s="4" t="s">
        <v>24</v>
      </c>
    </row>
    <row r="5" spans="1:8" x14ac:dyDescent="0.2">
      <c r="A5" s="8">
        <v>0.59828703703703701</v>
      </c>
      <c r="B5" s="6">
        <v>3.2851560000000002</v>
      </c>
      <c r="C5" s="4">
        <v>847</v>
      </c>
      <c r="D5" s="4" t="s">
        <v>26</v>
      </c>
      <c r="E5" s="9">
        <v>0.54</v>
      </c>
      <c r="F5" s="4" t="s">
        <v>17</v>
      </c>
    </row>
    <row r="6" spans="1:8" x14ac:dyDescent="0.2">
      <c r="A6" s="8">
        <v>0.59829861111111116</v>
      </c>
      <c r="B6" s="6">
        <v>3.8046880000000001</v>
      </c>
      <c r="C6" s="4">
        <v>848</v>
      </c>
      <c r="D6" s="4" t="s">
        <v>24</v>
      </c>
      <c r="E6" s="4" t="s">
        <v>24</v>
      </c>
      <c r="F6" s="4" t="s">
        <v>24</v>
      </c>
    </row>
    <row r="7" spans="1:8" x14ac:dyDescent="0.2">
      <c r="A7" s="8">
        <v>0.59829861111111116</v>
      </c>
      <c r="B7" s="6">
        <v>4.3046879999999996</v>
      </c>
      <c r="C7" s="4">
        <v>845</v>
      </c>
      <c r="D7" s="4" t="s">
        <v>24</v>
      </c>
      <c r="E7" s="4" t="s">
        <v>24</v>
      </c>
      <c r="F7" s="4" t="s">
        <v>24</v>
      </c>
    </row>
    <row r="8" spans="1:8" x14ac:dyDescent="0.2">
      <c r="A8" s="8">
        <v>0.59831018518518519</v>
      </c>
      <c r="B8" s="6">
        <v>4.8046879999999996</v>
      </c>
      <c r="C8" s="4">
        <v>844</v>
      </c>
      <c r="D8" s="4" t="s">
        <v>24</v>
      </c>
      <c r="E8" s="4" t="s">
        <v>24</v>
      </c>
      <c r="F8" s="4" t="s">
        <v>24</v>
      </c>
    </row>
    <row r="9" spans="1:8" x14ac:dyDescent="0.2">
      <c r="A9" s="8">
        <v>0.59831018518518519</v>
      </c>
      <c r="B9" s="6">
        <v>5.3085940000000003</v>
      </c>
      <c r="C9" s="4">
        <v>839</v>
      </c>
      <c r="D9" s="4" t="s">
        <v>24</v>
      </c>
      <c r="E9" s="4" t="s">
        <v>24</v>
      </c>
      <c r="F9" s="4" t="s">
        <v>24</v>
      </c>
    </row>
    <row r="10" spans="1:8" x14ac:dyDescent="0.2">
      <c r="A10" s="8">
        <v>0.59832175925925923</v>
      </c>
      <c r="B10" s="6">
        <v>5.8242190000000003</v>
      </c>
      <c r="C10" s="4">
        <v>839</v>
      </c>
      <c r="D10" s="4" t="s">
        <v>26</v>
      </c>
      <c r="E10" s="9">
        <v>0.55000000000000004</v>
      </c>
      <c r="F10" s="4" t="s">
        <v>17</v>
      </c>
    </row>
    <row r="11" spans="1:8" x14ac:dyDescent="0.2">
      <c r="A11" s="8">
        <v>0.59832175925925923</v>
      </c>
      <c r="B11" s="6">
        <v>6.3398440000000003</v>
      </c>
      <c r="C11" s="4">
        <v>834</v>
      </c>
      <c r="D11" s="4" t="s">
        <v>24</v>
      </c>
      <c r="E11" s="4" t="s">
        <v>24</v>
      </c>
      <c r="F11" s="4" t="s">
        <v>24</v>
      </c>
    </row>
    <row r="12" spans="1:8" x14ac:dyDescent="0.2">
      <c r="A12" s="8">
        <v>0.59833333333333338</v>
      </c>
      <c r="B12" s="6">
        <v>6.8398440000000003</v>
      </c>
      <c r="C12" s="4">
        <v>835</v>
      </c>
      <c r="D12" s="4" t="s">
        <v>24</v>
      </c>
      <c r="E12" s="4" t="s">
        <v>24</v>
      </c>
      <c r="F12" s="4" t="s">
        <v>24</v>
      </c>
    </row>
    <row r="13" spans="1:8" x14ac:dyDescent="0.2">
      <c r="A13" s="8">
        <v>0.59833333333333338</v>
      </c>
      <c r="B13" s="6">
        <v>7.3398440000000003</v>
      </c>
      <c r="C13" s="4">
        <v>836</v>
      </c>
      <c r="D13" s="4" t="s">
        <v>24</v>
      </c>
      <c r="E13" s="4" t="s">
        <v>24</v>
      </c>
      <c r="F13" s="4" t="s">
        <v>24</v>
      </c>
    </row>
    <row r="14" spans="1:8" x14ac:dyDescent="0.2">
      <c r="A14" s="8">
        <v>0.59834490740740742</v>
      </c>
      <c r="B14" s="6">
        <v>7.8398440000000003</v>
      </c>
      <c r="C14" s="4">
        <v>835</v>
      </c>
      <c r="D14" s="4" t="s">
        <v>24</v>
      </c>
      <c r="E14" s="4" t="s">
        <v>24</v>
      </c>
      <c r="F14" s="4" t="s">
        <v>24</v>
      </c>
    </row>
    <row r="15" spans="1:8" x14ac:dyDescent="0.2">
      <c r="A15" s="8">
        <v>0.59834490740740742</v>
      </c>
      <c r="B15" s="6">
        <v>8.3710939999999994</v>
      </c>
      <c r="C15" s="4">
        <v>835</v>
      </c>
      <c r="D15" s="4" t="s">
        <v>26</v>
      </c>
      <c r="E15" s="9">
        <v>0.55000000000000004</v>
      </c>
      <c r="F15" s="4" t="s">
        <v>17</v>
      </c>
    </row>
    <row r="16" spans="1:8" x14ac:dyDescent="0.2">
      <c r="A16" s="8">
        <v>0.59835648148148146</v>
      </c>
      <c r="B16" s="6">
        <v>8.8867189999999994</v>
      </c>
      <c r="C16" s="4">
        <v>833</v>
      </c>
      <c r="D16" s="4" t="s">
        <v>24</v>
      </c>
      <c r="E16" s="4" t="s">
        <v>24</v>
      </c>
      <c r="F16" s="4" t="s">
        <v>24</v>
      </c>
    </row>
    <row r="17" spans="1:6" x14ac:dyDescent="0.2">
      <c r="A17" s="8">
        <v>0.59835648148148146</v>
      </c>
      <c r="B17" s="6">
        <v>9.3867189999999994</v>
      </c>
      <c r="C17" s="4">
        <v>830</v>
      </c>
      <c r="D17" s="4" t="s">
        <v>24</v>
      </c>
      <c r="E17" s="4" t="s">
        <v>24</v>
      </c>
      <c r="F17" s="4" t="s">
        <v>24</v>
      </c>
    </row>
    <row r="18" spans="1:6" x14ac:dyDescent="0.2">
      <c r="A18" s="8">
        <v>0.5983680555555555</v>
      </c>
      <c r="B18" s="6">
        <v>9.8867189999999994</v>
      </c>
      <c r="C18" s="4">
        <v>831</v>
      </c>
      <c r="D18" s="4" t="s">
        <v>24</v>
      </c>
      <c r="E18" s="4" t="s">
        <v>24</v>
      </c>
      <c r="F18" s="4" t="s">
        <v>24</v>
      </c>
    </row>
    <row r="19" spans="1:6" x14ac:dyDescent="0.2">
      <c r="A19" s="8">
        <v>0.5983680555555555</v>
      </c>
      <c r="B19" s="6">
        <v>10.38672</v>
      </c>
      <c r="C19" s="4">
        <v>832</v>
      </c>
      <c r="D19" s="4" t="s">
        <v>24</v>
      </c>
      <c r="E19" s="4" t="s">
        <v>24</v>
      </c>
      <c r="F19" s="4" t="s">
        <v>24</v>
      </c>
    </row>
    <row r="20" spans="1:6" x14ac:dyDescent="0.2">
      <c r="A20" s="8">
        <v>0.59837962962962965</v>
      </c>
      <c r="B20" s="6">
        <v>10.91797</v>
      </c>
      <c r="C20" s="4">
        <v>833</v>
      </c>
      <c r="D20" s="4" t="s">
        <v>26</v>
      </c>
      <c r="E20" s="9">
        <v>0.55000000000000004</v>
      </c>
      <c r="F20" s="4" t="s">
        <v>17</v>
      </c>
    </row>
    <row r="21" spans="1:6" x14ac:dyDescent="0.2">
      <c r="A21" s="8">
        <v>0.59837962962962965</v>
      </c>
      <c r="B21" s="6">
        <v>11.433590000000001</v>
      </c>
      <c r="C21" s="4">
        <v>828</v>
      </c>
      <c r="D21" s="4" t="s">
        <v>24</v>
      </c>
      <c r="E21" s="4" t="s">
        <v>24</v>
      </c>
      <c r="F21" s="4" t="s">
        <v>24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149D6-B977-49BD-83AD-9E8E02D3DA7D}">
  <dimension ref="A1:H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33</v>
      </c>
      <c r="B1" s="7" t="s">
        <v>34</v>
      </c>
      <c r="C1" s="5" t="s">
        <v>35</v>
      </c>
      <c r="D1" s="5" t="s">
        <v>36</v>
      </c>
      <c r="E1" s="5" t="s">
        <v>37</v>
      </c>
      <c r="F1" s="5" t="s">
        <v>38</v>
      </c>
    </row>
    <row r="2" spans="1:8" x14ac:dyDescent="0.2">
      <c r="A2" s="8">
        <v>0.59947916666666667</v>
      </c>
      <c r="B2" s="6">
        <v>1.800781</v>
      </c>
      <c r="C2" s="4">
        <v>810</v>
      </c>
      <c r="D2" s="4" t="s">
        <v>24</v>
      </c>
      <c r="E2" s="4" t="s">
        <v>24</v>
      </c>
      <c r="F2" s="4" t="s">
        <v>24</v>
      </c>
      <c r="H2" s="11">
        <f>AVERAGE(C2:C21)</f>
        <v>810.1</v>
      </c>
    </row>
    <row r="3" spans="1:8" x14ac:dyDescent="0.2">
      <c r="A3" s="8">
        <v>0.59947916666666667</v>
      </c>
      <c r="B3" s="6">
        <v>2.2695310000000002</v>
      </c>
      <c r="C3" s="4">
        <v>811</v>
      </c>
      <c r="D3" s="4" t="s">
        <v>24</v>
      </c>
      <c r="E3" s="4" t="s">
        <v>24</v>
      </c>
      <c r="F3" s="4" t="s">
        <v>24</v>
      </c>
      <c r="H3" s="11">
        <f>91*(1023-H2)/H2</f>
        <v>23.915442537958274</v>
      </c>
    </row>
    <row r="4" spans="1:8" x14ac:dyDescent="0.2">
      <c r="A4" s="8">
        <v>0.59949074074074071</v>
      </c>
      <c r="B4" s="6">
        <v>2.7617189999999998</v>
      </c>
      <c r="C4" s="4">
        <v>810</v>
      </c>
      <c r="D4" s="4" t="s">
        <v>24</v>
      </c>
      <c r="E4" s="4" t="s">
        <v>24</v>
      </c>
      <c r="F4" s="4" t="s">
        <v>24</v>
      </c>
    </row>
    <row r="5" spans="1:8" x14ac:dyDescent="0.2">
      <c r="A5" s="8">
        <v>0.59949074074074071</v>
      </c>
      <c r="B5" s="6">
        <v>3.2851560000000002</v>
      </c>
      <c r="C5" s="4">
        <v>810</v>
      </c>
      <c r="D5" s="4" t="s">
        <v>32</v>
      </c>
      <c r="E5" s="9">
        <v>0.55000000000000004</v>
      </c>
      <c r="F5" s="4" t="s">
        <v>17</v>
      </c>
    </row>
    <row r="6" spans="1:8" x14ac:dyDescent="0.2">
      <c r="A6" s="8">
        <v>0.59950231481481486</v>
      </c>
      <c r="B6" s="6">
        <v>3.8046880000000001</v>
      </c>
      <c r="C6" s="4">
        <v>810</v>
      </c>
      <c r="D6" s="4" t="s">
        <v>24</v>
      </c>
      <c r="E6" s="4" t="s">
        <v>24</v>
      </c>
      <c r="F6" s="4" t="s">
        <v>24</v>
      </c>
    </row>
    <row r="7" spans="1:8" x14ac:dyDescent="0.2">
      <c r="A7" s="8">
        <v>0.59950231481481486</v>
      </c>
      <c r="B7" s="6">
        <v>4.3125</v>
      </c>
      <c r="C7" s="4">
        <v>811</v>
      </c>
      <c r="D7" s="4" t="s">
        <v>24</v>
      </c>
      <c r="E7" s="4" t="s">
        <v>24</v>
      </c>
      <c r="F7" s="4" t="s">
        <v>24</v>
      </c>
    </row>
    <row r="8" spans="1:8" x14ac:dyDescent="0.2">
      <c r="A8" s="8">
        <v>0.5995138888888889</v>
      </c>
      <c r="B8" s="6">
        <v>4.8125</v>
      </c>
      <c r="C8" s="4">
        <v>810</v>
      </c>
      <c r="D8" s="4" t="s">
        <v>24</v>
      </c>
      <c r="E8" s="4" t="s">
        <v>24</v>
      </c>
      <c r="F8" s="4" t="s">
        <v>24</v>
      </c>
    </row>
    <row r="9" spans="1:8" x14ac:dyDescent="0.2">
      <c r="A9" s="8">
        <v>0.5995138888888889</v>
      </c>
      <c r="B9" s="6">
        <v>5.3085940000000003</v>
      </c>
      <c r="C9" s="4">
        <v>809</v>
      </c>
      <c r="D9" s="4" t="s">
        <v>24</v>
      </c>
      <c r="E9" s="4" t="s">
        <v>24</v>
      </c>
      <c r="F9" s="4" t="s">
        <v>24</v>
      </c>
    </row>
    <row r="10" spans="1:8" x14ac:dyDescent="0.2">
      <c r="A10" s="8">
        <v>0.59952546296296294</v>
      </c>
      <c r="B10" s="6">
        <v>5.8359379999999996</v>
      </c>
      <c r="C10" s="4">
        <v>809</v>
      </c>
      <c r="D10" s="4" t="s">
        <v>32</v>
      </c>
      <c r="E10" s="9">
        <v>0.55000000000000004</v>
      </c>
      <c r="F10" s="4" t="s">
        <v>17</v>
      </c>
    </row>
    <row r="11" spans="1:8" x14ac:dyDescent="0.2">
      <c r="A11" s="8">
        <v>0.59952546296296294</v>
      </c>
      <c r="B11" s="6">
        <v>6.3515629999999996</v>
      </c>
      <c r="C11" s="4">
        <v>810</v>
      </c>
      <c r="D11" s="4" t="s">
        <v>24</v>
      </c>
      <c r="E11" s="4" t="s">
        <v>24</v>
      </c>
      <c r="F11" s="4" t="s">
        <v>24</v>
      </c>
    </row>
    <row r="12" spans="1:8" x14ac:dyDescent="0.2">
      <c r="A12" s="8">
        <v>0.59953703703703709</v>
      </c>
      <c r="B12" s="6">
        <v>6.8554690000000003</v>
      </c>
      <c r="C12" s="4">
        <v>809</v>
      </c>
      <c r="D12" s="4" t="s">
        <v>24</v>
      </c>
      <c r="E12" s="4" t="s">
        <v>24</v>
      </c>
      <c r="F12" s="4" t="s">
        <v>24</v>
      </c>
    </row>
    <row r="13" spans="1:8" x14ac:dyDescent="0.2">
      <c r="A13" s="8">
        <v>0.59953703703703709</v>
      </c>
      <c r="B13" s="6">
        <v>7.3398440000000003</v>
      </c>
      <c r="C13" s="4">
        <v>811</v>
      </c>
      <c r="D13" s="4" t="s">
        <v>24</v>
      </c>
      <c r="E13" s="4" t="s">
        <v>24</v>
      </c>
      <c r="F13" s="4" t="s">
        <v>24</v>
      </c>
    </row>
    <row r="14" spans="1:8" x14ac:dyDescent="0.2">
      <c r="A14" s="8">
        <v>0.59954861111111113</v>
      </c>
      <c r="B14" s="6">
        <v>7.8554690000000003</v>
      </c>
      <c r="C14" s="4">
        <v>810</v>
      </c>
      <c r="D14" s="4" t="s">
        <v>24</v>
      </c>
      <c r="E14" s="4" t="s">
        <v>24</v>
      </c>
      <c r="F14" s="4" t="s">
        <v>24</v>
      </c>
    </row>
    <row r="15" spans="1:8" x14ac:dyDescent="0.2">
      <c r="A15" s="8">
        <v>0.59954861111111113</v>
      </c>
      <c r="B15" s="6">
        <v>8.3710939999999994</v>
      </c>
      <c r="C15" s="4">
        <v>810</v>
      </c>
      <c r="D15" s="4" t="s">
        <v>32</v>
      </c>
      <c r="E15" s="9">
        <v>0.55000000000000004</v>
      </c>
      <c r="F15" s="4" t="s">
        <v>17</v>
      </c>
    </row>
    <row r="16" spans="1:8" x14ac:dyDescent="0.2">
      <c r="A16" s="8">
        <v>0.59956018518518517</v>
      </c>
      <c r="B16" s="6">
        <v>8.8867189999999994</v>
      </c>
      <c r="C16" s="4">
        <v>811</v>
      </c>
      <c r="D16" s="4" t="s">
        <v>24</v>
      </c>
      <c r="E16" s="4" t="s">
        <v>24</v>
      </c>
      <c r="F16" s="4" t="s">
        <v>24</v>
      </c>
    </row>
    <row r="17" spans="1:6" x14ac:dyDescent="0.2">
      <c r="A17" s="8">
        <v>0.59956018518518517</v>
      </c>
      <c r="B17" s="6">
        <v>9.3867189999999994</v>
      </c>
      <c r="C17" s="4">
        <v>810</v>
      </c>
      <c r="D17" s="4" t="s">
        <v>24</v>
      </c>
      <c r="E17" s="4" t="s">
        <v>24</v>
      </c>
      <c r="F17" s="4" t="s">
        <v>24</v>
      </c>
    </row>
    <row r="18" spans="1:6" x14ac:dyDescent="0.2">
      <c r="A18" s="8">
        <v>0.59957175925925921</v>
      </c>
      <c r="B18" s="6">
        <v>9.8867189999999994</v>
      </c>
      <c r="C18" s="4">
        <v>810</v>
      </c>
      <c r="D18" s="4" t="s">
        <v>24</v>
      </c>
      <c r="E18" s="4" t="s">
        <v>24</v>
      </c>
      <c r="F18" s="4" t="s">
        <v>24</v>
      </c>
    </row>
    <row r="19" spans="1:6" x14ac:dyDescent="0.2">
      <c r="A19" s="8">
        <v>0.59958333333333336</v>
      </c>
      <c r="B19" s="6">
        <v>10.402340000000001</v>
      </c>
      <c r="C19" s="4">
        <v>810</v>
      </c>
      <c r="D19" s="4" t="s">
        <v>24</v>
      </c>
      <c r="E19" s="4" t="s">
        <v>24</v>
      </c>
      <c r="F19" s="4" t="s">
        <v>24</v>
      </c>
    </row>
    <row r="20" spans="1:6" x14ac:dyDescent="0.2">
      <c r="A20" s="8">
        <v>0.59958333333333336</v>
      </c>
      <c r="B20" s="6">
        <v>10.91797</v>
      </c>
      <c r="C20" s="4">
        <v>811</v>
      </c>
      <c r="D20" s="4" t="s">
        <v>32</v>
      </c>
      <c r="E20" s="9">
        <v>0.55000000000000004</v>
      </c>
      <c r="F20" s="4" t="s">
        <v>17</v>
      </c>
    </row>
    <row r="21" spans="1:6" x14ac:dyDescent="0.2">
      <c r="A21" s="8">
        <v>0.5995949074074074</v>
      </c>
      <c r="B21" s="6">
        <v>11.433590000000001</v>
      </c>
      <c r="C21" s="4">
        <v>810</v>
      </c>
      <c r="D21" s="4" t="s">
        <v>24</v>
      </c>
      <c r="E21" s="4" t="s">
        <v>24</v>
      </c>
      <c r="F21" s="4" t="s">
        <v>24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F70D5-132F-4E03-9D57-D693B92F42D4}">
  <dimension ref="A1:I22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9" max="9" width="11.42578125" bestFit="1" customWidth="1"/>
  </cols>
  <sheetData>
    <row r="1" spans="1:9" x14ac:dyDescent="0.2">
      <c r="A1" s="5" t="s">
        <v>19</v>
      </c>
      <c r="B1" s="7" t="s">
        <v>20</v>
      </c>
      <c r="C1" s="5" t="s">
        <v>25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0.55755787037037041</v>
      </c>
      <c r="B2" s="6">
        <v>1.792969</v>
      </c>
      <c r="C2" s="10">
        <v>769</v>
      </c>
      <c r="D2" s="10" t="s">
        <v>24</v>
      </c>
      <c r="E2" s="10" t="s">
        <v>24</v>
      </c>
      <c r="F2" s="10" t="s">
        <v>24</v>
      </c>
      <c r="G2" s="11"/>
      <c r="H2" s="11">
        <f>AVERAGE(C2:C21)</f>
        <v>766.05</v>
      </c>
      <c r="I2" s="11"/>
    </row>
    <row r="3" spans="1:9" x14ac:dyDescent="0.2">
      <c r="A3" s="8">
        <v>0.55755787037037041</v>
      </c>
      <c r="B3" s="6">
        <v>2.2617189999999998</v>
      </c>
      <c r="C3" s="10">
        <v>767</v>
      </c>
      <c r="D3" s="10" t="s">
        <v>24</v>
      </c>
      <c r="E3" s="10" t="s">
        <v>24</v>
      </c>
      <c r="F3" s="10" t="s">
        <v>24</v>
      </c>
      <c r="G3" s="11"/>
      <c r="H3" s="11">
        <f>91*(1023-H2)/H2</f>
        <v>30.523399255923252</v>
      </c>
      <c r="I3" s="11"/>
    </row>
    <row r="4" spans="1:9" x14ac:dyDescent="0.2">
      <c r="A4" s="8">
        <v>0.55756944444444445</v>
      </c>
      <c r="B4" s="6">
        <v>2.7617189999999998</v>
      </c>
      <c r="C4" s="10">
        <v>767</v>
      </c>
      <c r="D4" s="10" t="s">
        <v>24</v>
      </c>
      <c r="E4" s="10" t="s">
        <v>24</v>
      </c>
      <c r="F4" s="10" t="s">
        <v>24</v>
      </c>
      <c r="G4" s="11"/>
      <c r="H4" s="11"/>
      <c r="I4" s="11"/>
    </row>
    <row r="5" spans="1:9" x14ac:dyDescent="0.2">
      <c r="A5" s="8">
        <v>0.55756944444444445</v>
      </c>
      <c r="B5" s="6">
        <v>3.2929689999999998</v>
      </c>
      <c r="C5" s="10">
        <v>765</v>
      </c>
      <c r="D5" s="10" t="s">
        <v>32</v>
      </c>
      <c r="E5" s="9">
        <v>0.6</v>
      </c>
      <c r="F5" s="10" t="s">
        <v>17</v>
      </c>
      <c r="G5" s="11"/>
      <c r="H5" s="11"/>
      <c r="I5" s="11"/>
    </row>
    <row r="6" spans="1:9" x14ac:dyDescent="0.2">
      <c r="A6" s="8">
        <v>0.55758101851851849</v>
      </c>
      <c r="B6" s="6">
        <v>3.8085939999999998</v>
      </c>
      <c r="C6" s="10">
        <v>766</v>
      </c>
      <c r="D6" s="10" t="s">
        <v>24</v>
      </c>
      <c r="E6" s="10" t="s">
        <v>24</v>
      </c>
      <c r="F6" s="10" t="s">
        <v>24</v>
      </c>
      <c r="G6" s="11"/>
      <c r="H6" s="11"/>
      <c r="I6" s="11"/>
    </row>
    <row r="7" spans="1:9" x14ac:dyDescent="0.2">
      <c r="A7" s="8">
        <v>0.55758101851851849</v>
      </c>
      <c r="B7" s="6">
        <v>4.3046879999999996</v>
      </c>
      <c r="C7" s="10">
        <v>767</v>
      </c>
      <c r="D7" s="10" t="s">
        <v>24</v>
      </c>
      <c r="E7" s="10" t="s">
        <v>24</v>
      </c>
      <c r="F7" s="10" t="s">
        <v>24</v>
      </c>
      <c r="G7" s="11"/>
      <c r="H7" s="11"/>
      <c r="I7" s="11"/>
    </row>
    <row r="8" spans="1:9" x14ac:dyDescent="0.2">
      <c r="A8" s="8">
        <v>0.55759259259259264</v>
      </c>
      <c r="B8" s="6">
        <v>4.8046879999999996</v>
      </c>
      <c r="C8" s="10">
        <v>765</v>
      </c>
      <c r="D8" s="10" t="s">
        <v>24</v>
      </c>
      <c r="E8" s="10" t="s">
        <v>24</v>
      </c>
      <c r="F8" s="10" t="s">
        <v>24</v>
      </c>
      <c r="G8" s="11"/>
      <c r="H8" s="11"/>
      <c r="I8" s="11"/>
    </row>
    <row r="9" spans="1:9" x14ac:dyDescent="0.2">
      <c r="A9" s="8">
        <v>0.55759259259259264</v>
      </c>
      <c r="B9" s="6">
        <v>5.3046879999999996</v>
      </c>
      <c r="C9" s="10">
        <v>765</v>
      </c>
      <c r="D9" s="10" t="s">
        <v>24</v>
      </c>
      <c r="E9" s="10" t="s">
        <v>24</v>
      </c>
      <c r="F9" s="10" t="s">
        <v>24</v>
      </c>
      <c r="G9" s="11"/>
      <c r="H9" s="11"/>
      <c r="I9" s="11"/>
    </row>
    <row r="10" spans="1:9" x14ac:dyDescent="0.2">
      <c r="A10" s="8">
        <v>0.55760416666666668</v>
      </c>
      <c r="B10" s="6">
        <v>5.8359379999999996</v>
      </c>
      <c r="C10" s="10">
        <v>766</v>
      </c>
      <c r="D10" s="10" t="s">
        <v>32</v>
      </c>
      <c r="E10" s="9">
        <v>0.6</v>
      </c>
      <c r="F10" s="10" t="s">
        <v>17</v>
      </c>
      <c r="G10" s="11"/>
      <c r="H10" s="11"/>
      <c r="I10" s="11"/>
    </row>
    <row r="11" spans="1:9" x14ac:dyDescent="0.2">
      <c r="A11" s="8">
        <v>0.55760416666666668</v>
      </c>
      <c r="B11" s="6">
        <v>6.3554690000000003</v>
      </c>
      <c r="C11" s="10">
        <v>768</v>
      </c>
      <c r="D11" s="10" t="s">
        <v>24</v>
      </c>
      <c r="E11" s="10" t="s">
        <v>24</v>
      </c>
      <c r="F11" s="10" t="s">
        <v>24</v>
      </c>
      <c r="G11" s="11"/>
      <c r="H11" s="11"/>
      <c r="I11" s="11"/>
    </row>
    <row r="12" spans="1:9" x14ac:dyDescent="0.2">
      <c r="A12" s="8">
        <v>0.55761574074074072</v>
      </c>
      <c r="B12" s="6">
        <v>6.8554690000000003</v>
      </c>
      <c r="C12" s="10">
        <v>766</v>
      </c>
      <c r="D12" s="10" t="s">
        <v>24</v>
      </c>
      <c r="E12" s="10" t="s">
        <v>24</v>
      </c>
      <c r="F12" s="10" t="s">
        <v>24</v>
      </c>
      <c r="G12" s="11"/>
      <c r="H12" s="11"/>
      <c r="I12" s="11"/>
    </row>
    <row r="13" spans="1:9" x14ac:dyDescent="0.2">
      <c r="A13" s="8">
        <v>0.55761574074074072</v>
      </c>
      <c r="B13" s="6">
        <v>7.3554690000000003</v>
      </c>
      <c r="C13" s="10">
        <v>765</v>
      </c>
      <c r="D13" s="10" t="s">
        <v>24</v>
      </c>
      <c r="E13" s="10" t="s">
        <v>24</v>
      </c>
      <c r="F13" s="10" t="s">
        <v>24</v>
      </c>
      <c r="G13" s="11"/>
      <c r="H13" s="11"/>
      <c r="I13" s="11"/>
    </row>
    <row r="14" spans="1:9" x14ac:dyDescent="0.2">
      <c r="A14" s="8">
        <v>0.55762731481481487</v>
      </c>
      <c r="B14" s="6">
        <v>7.8554690000000003</v>
      </c>
      <c r="C14" s="10">
        <v>767</v>
      </c>
      <c r="D14" s="10" t="s">
        <v>24</v>
      </c>
      <c r="E14" s="10" t="s">
        <v>24</v>
      </c>
      <c r="F14" s="10" t="s">
        <v>24</v>
      </c>
      <c r="G14" s="11"/>
      <c r="H14" s="11"/>
      <c r="I14" s="11"/>
    </row>
    <row r="15" spans="1:9" x14ac:dyDescent="0.2">
      <c r="A15" s="8">
        <v>0.55762731481481487</v>
      </c>
      <c r="B15" s="6">
        <v>8.3671880000000005</v>
      </c>
      <c r="C15" s="10">
        <v>765</v>
      </c>
      <c r="D15" s="10" t="s">
        <v>32</v>
      </c>
      <c r="E15" s="9">
        <v>0.61</v>
      </c>
      <c r="F15" s="10" t="s">
        <v>17</v>
      </c>
      <c r="G15" s="11"/>
      <c r="H15" s="11"/>
      <c r="I15" s="11"/>
    </row>
    <row r="16" spans="1:9" x14ac:dyDescent="0.2">
      <c r="A16" s="8">
        <v>0.55763888888888891</v>
      </c>
      <c r="B16" s="6">
        <v>8.8828130000000005</v>
      </c>
      <c r="C16" s="10">
        <v>766</v>
      </c>
      <c r="D16" s="10" t="s">
        <v>24</v>
      </c>
      <c r="E16" s="10" t="s">
        <v>24</v>
      </c>
      <c r="F16" s="10" t="s">
        <v>24</v>
      </c>
      <c r="G16" s="11"/>
      <c r="H16" s="11"/>
      <c r="I16" s="11"/>
    </row>
    <row r="17" spans="1:9" x14ac:dyDescent="0.2">
      <c r="A17" s="8">
        <v>0.55763888888888891</v>
      </c>
      <c r="B17" s="6">
        <v>9.3984380000000005</v>
      </c>
      <c r="C17" s="10">
        <v>765</v>
      </c>
      <c r="D17" s="10" t="s">
        <v>24</v>
      </c>
      <c r="E17" s="10" t="s">
        <v>24</v>
      </c>
      <c r="F17" s="10" t="s">
        <v>24</v>
      </c>
      <c r="G17" s="11"/>
      <c r="H17" s="11"/>
      <c r="I17" s="11"/>
    </row>
    <row r="18" spans="1:9" x14ac:dyDescent="0.2">
      <c r="A18" s="8">
        <v>0.55765046296296295</v>
      </c>
      <c r="B18" s="6">
        <v>9.8984380000000005</v>
      </c>
      <c r="C18" s="10">
        <v>766</v>
      </c>
      <c r="D18" s="10" t="s">
        <v>24</v>
      </c>
      <c r="E18" s="10" t="s">
        <v>24</v>
      </c>
      <c r="F18" s="10" t="s">
        <v>24</v>
      </c>
      <c r="G18" s="11"/>
      <c r="H18" s="11"/>
      <c r="I18" s="11"/>
    </row>
    <row r="19" spans="1:9" x14ac:dyDescent="0.2">
      <c r="A19" s="8">
        <v>0.55765046296296295</v>
      </c>
      <c r="B19" s="6">
        <v>10.398440000000001</v>
      </c>
      <c r="C19" s="10">
        <v>766</v>
      </c>
      <c r="D19" s="10" t="s">
        <v>24</v>
      </c>
      <c r="E19" s="10" t="s">
        <v>24</v>
      </c>
      <c r="F19" s="10" t="s">
        <v>24</v>
      </c>
      <c r="G19" s="11"/>
      <c r="H19" s="11"/>
      <c r="I19" s="11"/>
    </row>
    <row r="20" spans="1:9" x14ac:dyDescent="0.2">
      <c r="A20" s="8">
        <v>0.55766203703703698</v>
      </c>
      <c r="B20" s="6">
        <v>10.914059999999999</v>
      </c>
      <c r="C20" s="10">
        <v>764</v>
      </c>
      <c r="D20" s="10" t="s">
        <v>32</v>
      </c>
      <c r="E20" s="9">
        <v>0.6</v>
      </c>
      <c r="F20" s="10" t="s">
        <v>17</v>
      </c>
      <c r="G20" s="11"/>
      <c r="H20" s="11"/>
      <c r="I20" s="11"/>
    </row>
    <row r="21" spans="1:9" x14ac:dyDescent="0.2">
      <c r="A21" s="8">
        <v>0.55766203703703698</v>
      </c>
      <c r="B21" s="6">
        <v>11.4375</v>
      </c>
      <c r="C21" s="10">
        <v>766</v>
      </c>
      <c r="D21" s="10" t="s">
        <v>24</v>
      </c>
      <c r="E21" s="10" t="s">
        <v>24</v>
      </c>
      <c r="F21" s="10" t="s">
        <v>24</v>
      </c>
      <c r="G21" s="11"/>
      <c r="H21" s="11"/>
      <c r="I21" s="11"/>
    </row>
    <row r="22" spans="1:9" x14ac:dyDescent="0.2">
      <c r="A22" s="10"/>
      <c r="C22" s="10"/>
      <c r="D22" s="10"/>
      <c r="E22" s="10"/>
      <c r="F22" s="10"/>
      <c r="G22" s="11"/>
      <c r="H22" s="11"/>
      <c r="I22" s="11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A5058-EED8-46E7-BD51-C7EFFAB1F147}">
  <dimension ref="A1:I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9.140625" customWidth="1"/>
  </cols>
  <sheetData>
    <row r="1" spans="1:9" x14ac:dyDescent="0.2">
      <c r="A1" s="5" t="s">
        <v>19</v>
      </c>
      <c r="B1" s="7" t="s">
        <v>20</v>
      </c>
      <c r="C1" s="5" t="s">
        <v>25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0.5587037037037037</v>
      </c>
      <c r="B2" s="6">
        <v>1.8125</v>
      </c>
      <c r="C2" s="10">
        <v>769</v>
      </c>
      <c r="D2" s="10" t="s">
        <v>24</v>
      </c>
      <c r="E2" s="10" t="s">
        <v>24</v>
      </c>
      <c r="F2" s="10" t="s">
        <v>24</v>
      </c>
      <c r="G2" s="11"/>
      <c r="H2" s="11">
        <f>AVERAGE(C2:C21)</f>
        <v>772.05</v>
      </c>
      <c r="I2" s="11"/>
    </row>
    <row r="3" spans="1:9" x14ac:dyDescent="0.2">
      <c r="A3" s="8">
        <v>0.5587037037037037</v>
      </c>
      <c r="B3" s="6">
        <v>2.265625</v>
      </c>
      <c r="C3" s="10">
        <v>772</v>
      </c>
      <c r="D3" s="10" t="s">
        <v>24</v>
      </c>
      <c r="E3" s="10" t="s">
        <v>24</v>
      </c>
      <c r="F3" s="10" t="s">
        <v>24</v>
      </c>
      <c r="G3" s="11"/>
      <c r="H3" s="11">
        <f>91*(1023-H2)/H2</f>
        <v>29.578978045463383</v>
      </c>
      <c r="I3" s="11"/>
    </row>
    <row r="4" spans="1:9" x14ac:dyDescent="0.2">
      <c r="A4" s="8">
        <v>0.55871527777777774</v>
      </c>
      <c r="B4" s="6">
        <v>2.765625</v>
      </c>
      <c r="C4" s="10">
        <v>770</v>
      </c>
      <c r="D4" s="10" t="s">
        <v>24</v>
      </c>
      <c r="E4" s="10" t="s">
        <v>24</v>
      </c>
      <c r="F4" s="10" t="s">
        <v>24</v>
      </c>
      <c r="G4" s="11"/>
      <c r="H4" s="11"/>
      <c r="I4" s="11"/>
    </row>
    <row r="5" spans="1:9" x14ac:dyDescent="0.2">
      <c r="A5" s="8">
        <v>0.55871527777777774</v>
      </c>
      <c r="B5" s="6">
        <v>3.28125</v>
      </c>
      <c r="C5" s="10">
        <v>772</v>
      </c>
      <c r="D5" s="10" t="s">
        <v>32</v>
      </c>
      <c r="E5" s="9">
        <v>0.6</v>
      </c>
      <c r="F5" s="10" t="s">
        <v>17</v>
      </c>
      <c r="G5" s="11"/>
      <c r="H5" s="11"/>
      <c r="I5" s="11"/>
    </row>
    <row r="6" spans="1:9" x14ac:dyDescent="0.2">
      <c r="A6" s="8">
        <v>0.55872685185185189</v>
      </c>
      <c r="B6" s="6">
        <v>3.796875</v>
      </c>
      <c r="C6" s="10">
        <v>772</v>
      </c>
      <c r="D6" s="10" t="s">
        <v>24</v>
      </c>
      <c r="E6" s="10" t="s">
        <v>24</v>
      </c>
      <c r="F6" s="10" t="s">
        <v>24</v>
      </c>
      <c r="G6" s="11"/>
      <c r="H6" s="11"/>
      <c r="I6" s="11"/>
    </row>
    <row r="7" spans="1:9" x14ac:dyDescent="0.2">
      <c r="A7" s="8">
        <v>0.55872685185185189</v>
      </c>
      <c r="B7" s="6">
        <v>4.296875</v>
      </c>
      <c r="C7" s="10">
        <v>772</v>
      </c>
      <c r="D7" s="10" t="s">
        <v>24</v>
      </c>
      <c r="E7" s="10" t="s">
        <v>24</v>
      </c>
      <c r="F7" s="10" t="s">
        <v>24</v>
      </c>
      <c r="G7" s="11"/>
      <c r="H7" s="11"/>
      <c r="I7" s="11"/>
    </row>
    <row r="8" spans="1:9" x14ac:dyDescent="0.2">
      <c r="A8" s="8">
        <v>0.55873842592592593</v>
      </c>
      <c r="B8" s="6">
        <v>4.7929690000000003</v>
      </c>
      <c r="C8" s="10">
        <v>771</v>
      </c>
      <c r="D8" s="10" t="s">
        <v>24</v>
      </c>
      <c r="E8" s="10" t="s">
        <v>24</v>
      </c>
      <c r="F8" s="10" t="s">
        <v>24</v>
      </c>
      <c r="G8" s="11"/>
      <c r="H8" s="11"/>
      <c r="I8" s="11"/>
    </row>
    <row r="9" spans="1:9" x14ac:dyDescent="0.2">
      <c r="A9" s="8">
        <v>0.55873842592592593</v>
      </c>
      <c r="B9" s="6">
        <v>5.2929690000000003</v>
      </c>
      <c r="C9" s="10">
        <v>770</v>
      </c>
      <c r="D9" s="10" t="s">
        <v>24</v>
      </c>
      <c r="E9" s="10" t="s">
        <v>24</v>
      </c>
      <c r="F9" s="10" t="s">
        <v>24</v>
      </c>
      <c r="G9" s="11"/>
      <c r="H9" s="11"/>
      <c r="I9" s="11"/>
    </row>
    <row r="10" spans="1:9" x14ac:dyDescent="0.2">
      <c r="A10" s="8">
        <v>0.55874999999999997</v>
      </c>
      <c r="B10" s="6">
        <v>5.8242190000000003</v>
      </c>
      <c r="C10" s="10">
        <v>771</v>
      </c>
      <c r="D10" s="10" t="s">
        <v>32</v>
      </c>
      <c r="E10" s="9">
        <v>0.6</v>
      </c>
      <c r="F10" s="10" t="s">
        <v>17</v>
      </c>
      <c r="G10" s="11"/>
      <c r="H10" s="11"/>
      <c r="I10" s="11"/>
    </row>
    <row r="11" spans="1:9" x14ac:dyDescent="0.2">
      <c r="A11" s="8">
        <v>0.55874999999999997</v>
      </c>
      <c r="B11" s="6">
        <v>6.3398440000000003</v>
      </c>
      <c r="C11" s="10">
        <v>772</v>
      </c>
      <c r="D11" s="10" t="s">
        <v>24</v>
      </c>
      <c r="E11" s="10" t="s">
        <v>24</v>
      </c>
      <c r="F11" s="10" t="s">
        <v>24</v>
      </c>
      <c r="G11" s="11"/>
      <c r="H11" s="11"/>
      <c r="I11" s="11"/>
    </row>
    <row r="12" spans="1:9" x14ac:dyDescent="0.2">
      <c r="A12" s="8">
        <v>0.55876157407407412</v>
      </c>
      <c r="B12" s="6">
        <v>6.8398440000000003</v>
      </c>
      <c r="C12" s="10">
        <v>773</v>
      </c>
      <c r="D12" s="10" t="s">
        <v>24</v>
      </c>
      <c r="E12" s="10" t="s">
        <v>24</v>
      </c>
      <c r="F12" s="10" t="s">
        <v>24</v>
      </c>
      <c r="G12" s="11"/>
      <c r="H12" s="11"/>
      <c r="I12" s="11"/>
    </row>
    <row r="13" spans="1:9" x14ac:dyDescent="0.2">
      <c r="A13" s="8">
        <v>0.55876157407407412</v>
      </c>
      <c r="B13" s="6">
        <v>7.3398440000000003</v>
      </c>
      <c r="C13" s="10">
        <v>772</v>
      </c>
      <c r="D13" s="10" t="s">
        <v>24</v>
      </c>
      <c r="E13" s="10" t="s">
        <v>24</v>
      </c>
      <c r="F13" s="10" t="s">
        <v>24</v>
      </c>
      <c r="G13" s="11"/>
      <c r="H13" s="11"/>
      <c r="I13" s="11"/>
    </row>
    <row r="14" spans="1:9" x14ac:dyDescent="0.2">
      <c r="A14" s="8">
        <v>0.55877314814814816</v>
      </c>
      <c r="B14" s="6">
        <v>7.8398440000000003</v>
      </c>
      <c r="C14" s="10">
        <v>772</v>
      </c>
      <c r="D14" s="10" t="s">
        <v>24</v>
      </c>
      <c r="E14" s="10" t="s">
        <v>24</v>
      </c>
      <c r="F14" s="10" t="s">
        <v>24</v>
      </c>
      <c r="G14" s="11"/>
      <c r="H14" s="11"/>
      <c r="I14" s="11"/>
    </row>
    <row r="15" spans="1:9" x14ac:dyDescent="0.2">
      <c r="A15" s="8">
        <v>0.55877314814814816</v>
      </c>
      <c r="B15" s="6">
        <v>8.3710939999999994</v>
      </c>
      <c r="C15" s="10">
        <v>771</v>
      </c>
      <c r="D15" s="10" t="s">
        <v>32</v>
      </c>
      <c r="E15" s="9">
        <v>0.6</v>
      </c>
      <c r="F15" s="10" t="s">
        <v>17</v>
      </c>
      <c r="G15" s="11"/>
      <c r="H15" s="11"/>
      <c r="I15" s="11"/>
    </row>
    <row r="16" spans="1:9" x14ac:dyDescent="0.2">
      <c r="A16" s="8">
        <v>0.5587847222222222</v>
      </c>
      <c r="B16" s="6">
        <v>8.890625</v>
      </c>
      <c r="C16" s="10">
        <v>773</v>
      </c>
      <c r="D16" s="10" t="s">
        <v>24</v>
      </c>
      <c r="E16" s="10" t="s">
        <v>24</v>
      </c>
      <c r="F16" s="10" t="s">
        <v>24</v>
      </c>
      <c r="G16" s="11"/>
      <c r="H16" s="11"/>
      <c r="I16" s="11"/>
    </row>
    <row r="17" spans="1:9" x14ac:dyDescent="0.2">
      <c r="A17" s="8">
        <v>0.5587847222222222</v>
      </c>
      <c r="B17" s="6">
        <v>9.390625</v>
      </c>
      <c r="C17" s="10">
        <v>775</v>
      </c>
      <c r="D17" s="10" t="s">
        <v>24</v>
      </c>
      <c r="E17" s="10" t="s">
        <v>24</v>
      </c>
      <c r="F17" s="10" t="s">
        <v>24</v>
      </c>
      <c r="G17" s="11"/>
      <c r="H17" s="11"/>
      <c r="I17" s="11"/>
    </row>
    <row r="18" spans="1:9" x14ac:dyDescent="0.2">
      <c r="A18" s="8">
        <v>0.55879629629629635</v>
      </c>
      <c r="B18" s="6">
        <v>9.890625</v>
      </c>
      <c r="C18" s="10">
        <v>774</v>
      </c>
      <c r="D18" s="10" t="s">
        <v>24</v>
      </c>
      <c r="E18" s="10" t="s">
        <v>24</v>
      </c>
      <c r="F18" s="10" t="s">
        <v>24</v>
      </c>
      <c r="G18" s="11"/>
      <c r="H18" s="11"/>
      <c r="I18" s="11"/>
    </row>
    <row r="19" spans="1:9" x14ac:dyDescent="0.2">
      <c r="A19" s="8">
        <v>0.55879629629629635</v>
      </c>
      <c r="B19" s="6">
        <v>10.39063</v>
      </c>
      <c r="C19" s="10">
        <v>774</v>
      </c>
      <c r="D19" s="10" t="s">
        <v>24</v>
      </c>
      <c r="E19" s="10" t="s">
        <v>24</v>
      </c>
      <c r="F19" s="10" t="s">
        <v>24</v>
      </c>
      <c r="G19" s="11"/>
      <c r="H19" s="11"/>
      <c r="I19" s="11"/>
    </row>
    <row r="20" spans="1:9" x14ac:dyDescent="0.2">
      <c r="A20" s="8">
        <v>0.55880787037037039</v>
      </c>
      <c r="B20" s="6">
        <v>10.90625</v>
      </c>
      <c r="C20" s="10">
        <v>773</v>
      </c>
      <c r="D20" s="10" t="s">
        <v>32</v>
      </c>
      <c r="E20" s="9">
        <v>0.6</v>
      </c>
      <c r="F20" s="10" t="s">
        <v>17</v>
      </c>
      <c r="G20" s="11"/>
      <c r="H20" s="11"/>
      <c r="I20" s="11"/>
    </row>
    <row r="21" spans="1:9" x14ac:dyDescent="0.2">
      <c r="A21" s="8">
        <v>0.55880787037037039</v>
      </c>
      <c r="B21" s="6">
        <v>11.42188</v>
      </c>
      <c r="C21" s="10">
        <v>773</v>
      </c>
      <c r="D21" s="10" t="s">
        <v>24</v>
      </c>
      <c r="E21" s="10" t="s">
        <v>24</v>
      </c>
      <c r="F21" s="10" t="s">
        <v>24</v>
      </c>
      <c r="G21" s="11"/>
      <c r="H21" s="11"/>
      <c r="I21" s="11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C74A-1B83-4146-942E-49CD75CE23B4}">
  <dimension ref="A1:I24"/>
  <sheetViews>
    <sheetView zoomScaleNormal="100"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25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0.5637847222222222</v>
      </c>
      <c r="B2" s="6">
        <v>1.792969</v>
      </c>
      <c r="C2" s="10">
        <v>763</v>
      </c>
      <c r="D2" s="10" t="s">
        <v>24</v>
      </c>
      <c r="E2" s="10" t="s">
        <v>24</v>
      </c>
      <c r="F2" s="10" t="s">
        <v>24</v>
      </c>
      <c r="G2" s="11"/>
      <c r="H2" s="11">
        <f>AVERAGE(C2:C21)</f>
        <v>765.65</v>
      </c>
      <c r="I2" s="11"/>
    </row>
    <row r="3" spans="1:9" x14ac:dyDescent="0.2">
      <c r="A3" s="8">
        <v>0.56379629629629635</v>
      </c>
      <c r="B3" s="6">
        <v>2.2617189999999998</v>
      </c>
      <c r="C3" s="10">
        <v>765</v>
      </c>
      <c r="D3" s="10" t="s">
        <v>24</v>
      </c>
      <c r="E3" s="10" t="s">
        <v>24</v>
      </c>
      <c r="F3" s="10" t="s">
        <v>24</v>
      </c>
      <c r="G3" s="11"/>
      <c r="H3" s="11">
        <f>91*(1023-H2)/H2</f>
        <v>30.586886958793187</v>
      </c>
      <c r="I3" s="11"/>
    </row>
    <row r="4" spans="1:9" x14ac:dyDescent="0.2">
      <c r="A4" s="8">
        <v>0.56379629629629635</v>
      </c>
      <c r="B4" s="6">
        <v>2.7617189999999998</v>
      </c>
      <c r="C4" s="10">
        <v>764</v>
      </c>
      <c r="D4" s="10" t="s">
        <v>24</v>
      </c>
      <c r="E4" s="10" t="s">
        <v>24</v>
      </c>
      <c r="F4" s="10" t="s">
        <v>24</v>
      </c>
      <c r="G4" s="11"/>
      <c r="H4" s="11"/>
      <c r="I4" s="11"/>
    </row>
    <row r="5" spans="1:9" x14ac:dyDescent="0.2">
      <c r="A5" s="8">
        <v>0.56380787037037039</v>
      </c>
      <c r="B5" s="6">
        <v>3.2929689999999998</v>
      </c>
      <c r="C5" s="10">
        <v>765</v>
      </c>
      <c r="D5" s="10" t="s">
        <v>26</v>
      </c>
      <c r="E5" s="9">
        <v>0.56999999999999995</v>
      </c>
      <c r="F5" s="10" t="s">
        <v>17</v>
      </c>
      <c r="G5" s="11"/>
      <c r="H5" s="11"/>
      <c r="I5" s="11"/>
    </row>
    <row r="6" spans="1:9" x14ac:dyDescent="0.2">
      <c r="A6" s="8">
        <v>0.56380787037037039</v>
      </c>
      <c r="B6" s="6">
        <v>3.8085939999999998</v>
      </c>
      <c r="C6" s="10">
        <v>766</v>
      </c>
      <c r="D6" s="10" t="s">
        <v>24</v>
      </c>
      <c r="E6" s="10" t="s">
        <v>24</v>
      </c>
      <c r="F6" s="10" t="s">
        <v>24</v>
      </c>
      <c r="G6" s="11"/>
      <c r="H6" s="11"/>
      <c r="I6" s="11"/>
    </row>
    <row r="7" spans="1:9" x14ac:dyDescent="0.2">
      <c r="A7" s="8">
        <v>0.56381944444444443</v>
      </c>
      <c r="B7" s="6">
        <v>4.3085940000000003</v>
      </c>
      <c r="C7" s="10">
        <v>766</v>
      </c>
      <c r="D7" s="10" t="s">
        <v>24</v>
      </c>
      <c r="E7" s="10" t="s">
        <v>24</v>
      </c>
      <c r="F7" s="10" t="s">
        <v>24</v>
      </c>
      <c r="G7" s="11"/>
      <c r="H7" s="11"/>
      <c r="I7" s="11"/>
    </row>
    <row r="8" spans="1:9" x14ac:dyDescent="0.2">
      <c r="A8" s="8">
        <v>0.56381944444444443</v>
      </c>
      <c r="B8" s="6">
        <v>4.8085940000000003</v>
      </c>
      <c r="C8" s="10">
        <v>764</v>
      </c>
      <c r="D8" s="10" t="s">
        <v>24</v>
      </c>
      <c r="E8" s="10" t="s">
        <v>24</v>
      </c>
      <c r="F8" s="10" t="s">
        <v>24</v>
      </c>
      <c r="G8" s="11"/>
      <c r="H8" s="11"/>
      <c r="I8" s="11"/>
    </row>
    <row r="9" spans="1:9" x14ac:dyDescent="0.2">
      <c r="A9" s="8">
        <v>0.56383101851851847</v>
      </c>
      <c r="B9" s="6">
        <v>5.3085940000000003</v>
      </c>
      <c r="C9" s="10">
        <v>767</v>
      </c>
      <c r="D9" s="10" t="s">
        <v>24</v>
      </c>
      <c r="E9" s="10" t="s">
        <v>24</v>
      </c>
      <c r="F9" s="10" t="s">
        <v>24</v>
      </c>
      <c r="G9" s="11"/>
      <c r="H9" s="11"/>
      <c r="I9" s="11"/>
    </row>
    <row r="10" spans="1:9" x14ac:dyDescent="0.2">
      <c r="A10" s="8">
        <v>0.56383101851851847</v>
      </c>
      <c r="B10" s="6">
        <v>5.8398440000000003</v>
      </c>
      <c r="C10" s="10">
        <v>764</v>
      </c>
      <c r="D10" s="10" t="s">
        <v>26</v>
      </c>
      <c r="E10" s="9">
        <v>0.56999999999999995</v>
      </c>
      <c r="F10" s="10" t="s">
        <v>17</v>
      </c>
      <c r="G10" s="11"/>
      <c r="H10" s="11"/>
      <c r="I10" s="11"/>
    </row>
    <row r="11" spans="1:9" x14ac:dyDescent="0.2">
      <c r="A11" s="8">
        <v>0.56384259259259262</v>
      </c>
      <c r="B11" s="6">
        <v>6.3554690000000003</v>
      </c>
      <c r="C11" s="10">
        <v>765</v>
      </c>
      <c r="D11" s="10" t="s">
        <v>24</v>
      </c>
      <c r="E11" s="10" t="s">
        <v>24</v>
      </c>
      <c r="F11" s="10" t="s">
        <v>24</v>
      </c>
      <c r="G11" s="11"/>
      <c r="H11" s="11"/>
      <c r="I11" s="11"/>
    </row>
    <row r="12" spans="1:9" x14ac:dyDescent="0.2">
      <c r="A12" s="8">
        <v>0.56384259259259262</v>
      </c>
      <c r="B12" s="6">
        <v>6.8554690000000003</v>
      </c>
      <c r="C12" s="10">
        <v>768</v>
      </c>
      <c r="D12" s="10" t="s">
        <v>24</v>
      </c>
      <c r="E12" s="10" t="s">
        <v>24</v>
      </c>
      <c r="F12" s="10" t="s">
        <v>24</v>
      </c>
      <c r="G12" s="11"/>
      <c r="H12" s="11"/>
      <c r="I12" s="11"/>
    </row>
    <row r="13" spans="1:9" x14ac:dyDescent="0.2">
      <c r="A13" s="8">
        <v>0.56385416666666666</v>
      </c>
      <c r="B13" s="6">
        <v>7.3554690000000003</v>
      </c>
      <c r="C13" s="10">
        <v>765</v>
      </c>
      <c r="D13" s="10" t="s">
        <v>24</v>
      </c>
      <c r="E13" s="10" t="s">
        <v>24</v>
      </c>
      <c r="F13" s="10" t="s">
        <v>24</v>
      </c>
      <c r="G13" s="11"/>
      <c r="H13" s="11"/>
      <c r="I13" s="11"/>
    </row>
    <row r="14" spans="1:9" x14ac:dyDescent="0.2">
      <c r="A14" s="8">
        <v>0.56385416666666666</v>
      </c>
      <c r="B14" s="6">
        <v>7.8554690000000003</v>
      </c>
      <c r="C14" s="10">
        <v>767</v>
      </c>
      <c r="D14" s="10" t="s">
        <v>24</v>
      </c>
      <c r="E14" s="10" t="s">
        <v>24</v>
      </c>
      <c r="F14" s="10" t="s">
        <v>24</v>
      </c>
      <c r="G14" s="11"/>
      <c r="H14" s="11"/>
      <c r="I14" s="11"/>
    </row>
    <row r="15" spans="1:9" x14ac:dyDescent="0.2">
      <c r="A15" s="8">
        <v>0.5638657407407407</v>
      </c>
      <c r="B15" s="6">
        <v>8.3867189999999994</v>
      </c>
      <c r="C15" s="10">
        <v>766</v>
      </c>
      <c r="D15" s="10" t="s">
        <v>26</v>
      </c>
      <c r="E15" s="9">
        <v>0.56999999999999995</v>
      </c>
      <c r="F15" s="10" t="s">
        <v>17</v>
      </c>
      <c r="G15" s="11"/>
      <c r="H15" s="11"/>
      <c r="I15" s="11"/>
    </row>
    <row r="16" spans="1:9" x14ac:dyDescent="0.2">
      <c r="A16" s="8">
        <v>0.5638657407407407</v>
      </c>
      <c r="B16" s="6">
        <v>8.9023439999999994</v>
      </c>
      <c r="C16" s="10">
        <v>765</v>
      </c>
      <c r="D16" s="10" t="s">
        <v>24</v>
      </c>
      <c r="E16" s="10" t="s">
        <v>24</v>
      </c>
      <c r="F16" s="10" t="s">
        <v>24</v>
      </c>
      <c r="G16" s="11"/>
      <c r="H16" s="11"/>
      <c r="I16" s="11"/>
    </row>
    <row r="17" spans="1:9" x14ac:dyDescent="0.2">
      <c r="A17" s="8">
        <v>0.56387731481481485</v>
      </c>
      <c r="B17" s="6">
        <v>9.4023439999999994</v>
      </c>
      <c r="C17" s="10">
        <v>767</v>
      </c>
      <c r="D17" s="10" t="s">
        <v>24</v>
      </c>
      <c r="E17" s="10" t="s">
        <v>24</v>
      </c>
      <c r="F17" s="10" t="s">
        <v>24</v>
      </c>
      <c r="G17" s="11"/>
      <c r="H17" s="11"/>
      <c r="I17" s="11"/>
    </row>
    <row r="18" spans="1:9" x14ac:dyDescent="0.2">
      <c r="A18" s="8">
        <v>0.56387731481481485</v>
      </c>
      <c r="B18" s="6">
        <v>9.9023439999999994</v>
      </c>
      <c r="C18" s="10">
        <v>766</v>
      </c>
      <c r="D18" s="10" t="s">
        <v>24</v>
      </c>
      <c r="E18" s="10" t="s">
        <v>24</v>
      </c>
      <c r="F18" s="10" t="s">
        <v>24</v>
      </c>
      <c r="G18" s="11"/>
      <c r="H18" s="11"/>
      <c r="I18" s="11"/>
    </row>
    <row r="19" spans="1:9" x14ac:dyDescent="0.2">
      <c r="A19" s="8">
        <v>0.56388888888888888</v>
      </c>
      <c r="B19" s="6">
        <v>10.402340000000001</v>
      </c>
      <c r="C19" s="10">
        <v>767</v>
      </c>
      <c r="D19" s="10" t="s">
        <v>24</v>
      </c>
      <c r="E19" s="10" t="s">
        <v>24</v>
      </c>
      <c r="F19" s="10" t="s">
        <v>24</v>
      </c>
      <c r="G19" s="11"/>
      <c r="H19" s="11"/>
      <c r="I19" s="11"/>
    </row>
    <row r="20" spans="1:9" x14ac:dyDescent="0.2">
      <c r="A20" s="8">
        <v>0.56388888888888888</v>
      </c>
      <c r="B20" s="6">
        <v>10.91797</v>
      </c>
      <c r="C20" s="10">
        <v>766</v>
      </c>
      <c r="D20" s="10" t="s">
        <v>26</v>
      </c>
      <c r="E20" s="9">
        <v>0.56999999999999995</v>
      </c>
      <c r="F20" s="10" t="s">
        <v>17</v>
      </c>
      <c r="G20" s="11"/>
      <c r="H20" s="11"/>
      <c r="I20" s="11"/>
    </row>
    <row r="21" spans="1:9" x14ac:dyDescent="0.2">
      <c r="A21" s="8">
        <v>0.56390046296296292</v>
      </c>
      <c r="B21" s="6">
        <v>11.44922</v>
      </c>
      <c r="C21" s="10">
        <v>767</v>
      </c>
      <c r="D21" s="10" t="s">
        <v>24</v>
      </c>
      <c r="E21" s="10" t="s">
        <v>24</v>
      </c>
      <c r="F21" s="10" t="s">
        <v>24</v>
      </c>
      <c r="G21" s="11"/>
      <c r="H21" s="11"/>
      <c r="I21" s="11"/>
    </row>
    <row r="22" spans="1:9" x14ac:dyDescent="0.2">
      <c r="A22" s="8"/>
    </row>
    <row r="23" spans="1:9" x14ac:dyDescent="0.2">
      <c r="A23" s="8"/>
    </row>
    <row r="24" spans="1:9" x14ac:dyDescent="0.2">
      <c r="A24" s="8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9DC35-DF02-4223-A257-3C440CB699D4}">
  <dimension ref="A1:I21"/>
  <sheetViews>
    <sheetView workbookViewId="0">
      <selection activeCell="M13" sqref="M1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25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0.56545138888888891</v>
      </c>
      <c r="B2" s="6">
        <v>1.78125</v>
      </c>
      <c r="C2" s="10">
        <v>746</v>
      </c>
      <c r="D2" s="10" t="s">
        <v>24</v>
      </c>
      <c r="E2" s="10" t="s">
        <v>24</v>
      </c>
      <c r="F2" s="10" t="s">
        <v>24</v>
      </c>
      <c r="G2" s="11"/>
      <c r="H2" s="11">
        <f>AVERAGE(C2:C21)</f>
        <v>748.4</v>
      </c>
      <c r="I2" s="11"/>
    </row>
    <row r="3" spans="1:9" x14ac:dyDescent="0.2">
      <c r="A3" s="8">
        <v>0.56545138888888891</v>
      </c>
      <c r="B3" s="6">
        <v>2.2460939999999998</v>
      </c>
      <c r="C3" s="10">
        <v>750</v>
      </c>
      <c r="D3" s="10" t="s">
        <v>24</v>
      </c>
      <c r="E3" s="10" t="s">
        <v>24</v>
      </c>
      <c r="F3" s="10" t="s">
        <v>24</v>
      </c>
      <c r="G3" s="11"/>
      <c r="H3" s="11">
        <f>91*(1023-H2)/H2</f>
        <v>33.389363976483168</v>
      </c>
      <c r="I3" s="11"/>
    </row>
    <row r="4" spans="1:9" x14ac:dyDescent="0.2">
      <c r="A4" s="8">
        <v>0.56546296296296295</v>
      </c>
      <c r="B4" s="6">
        <v>2.7460939999999998</v>
      </c>
      <c r="C4" s="10">
        <v>749</v>
      </c>
      <c r="D4" s="10" t="s">
        <v>24</v>
      </c>
      <c r="E4" s="10" t="s">
        <v>24</v>
      </c>
      <c r="F4" s="10" t="s">
        <v>24</v>
      </c>
      <c r="G4" s="11"/>
      <c r="H4" s="11"/>
      <c r="I4" s="11"/>
    </row>
    <row r="5" spans="1:9" x14ac:dyDescent="0.2">
      <c r="A5" s="8">
        <v>0.56546296296296295</v>
      </c>
      <c r="B5" s="6">
        <v>3.28125</v>
      </c>
      <c r="C5" s="10">
        <v>746</v>
      </c>
      <c r="D5" s="10" t="s">
        <v>32</v>
      </c>
      <c r="E5" s="9">
        <v>0.57999999999999996</v>
      </c>
      <c r="F5" s="10" t="s">
        <v>17</v>
      </c>
      <c r="G5" s="11"/>
      <c r="H5" s="11"/>
      <c r="I5" s="11"/>
    </row>
    <row r="6" spans="1:9" x14ac:dyDescent="0.2">
      <c r="A6" s="8">
        <v>0.56547453703703698</v>
      </c>
      <c r="B6" s="6">
        <v>3.796875</v>
      </c>
      <c r="C6" s="10">
        <v>747</v>
      </c>
      <c r="D6" s="10" t="s">
        <v>24</v>
      </c>
      <c r="E6" s="10" t="s">
        <v>24</v>
      </c>
      <c r="F6" s="10" t="s">
        <v>24</v>
      </c>
      <c r="G6" s="11"/>
      <c r="H6" s="11"/>
      <c r="I6" s="11"/>
    </row>
    <row r="7" spans="1:9" x14ac:dyDescent="0.2">
      <c r="A7" s="8">
        <v>0.56547453703703698</v>
      </c>
      <c r="B7" s="6">
        <v>4.296875</v>
      </c>
      <c r="C7" s="10">
        <v>749</v>
      </c>
      <c r="D7" s="10" t="s">
        <v>24</v>
      </c>
      <c r="E7" s="10" t="s">
        <v>24</v>
      </c>
      <c r="F7" s="10" t="s">
        <v>24</v>
      </c>
      <c r="G7" s="11"/>
      <c r="H7" s="11"/>
      <c r="I7" s="11"/>
    </row>
    <row r="8" spans="1:9" x14ac:dyDescent="0.2">
      <c r="A8" s="8">
        <v>0.56548611111111113</v>
      </c>
      <c r="B8" s="6">
        <v>4.796875</v>
      </c>
      <c r="C8" s="10">
        <v>748</v>
      </c>
      <c r="D8" s="10" t="s">
        <v>24</v>
      </c>
      <c r="E8" s="10" t="s">
        <v>24</v>
      </c>
      <c r="F8" s="10" t="s">
        <v>24</v>
      </c>
      <c r="G8" s="11"/>
      <c r="H8" s="11"/>
      <c r="I8" s="11"/>
    </row>
    <row r="9" spans="1:9" x14ac:dyDescent="0.2">
      <c r="A9" s="8">
        <v>0.56548611111111113</v>
      </c>
      <c r="B9" s="6">
        <v>5.296875</v>
      </c>
      <c r="C9" s="10">
        <v>747</v>
      </c>
      <c r="D9" s="10" t="s">
        <v>24</v>
      </c>
      <c r="E9" s="10" t="s">
        <v>24</v>
      </c>
      <c r="F9" s="10" t="s">
        <v>24</v>
      </c>
      <c r="G9" s="11"/>
      <c r="H9" s="11"/>
      <c r="I9" s="11"/>
    </row>
    <row r="10" spans="1:9" x14ac:dyDescent="0.2">
      <c r="A10" s="8">
        <v>0.56549768518518517</v>
      </c>
      <c r="B10" s="6">
        <v>5.8242190000000003</v>
      </c>
      <c r="C10" s="10">
        <v>749</v>
      </c>
      <c r="D10" s="10" t="s">
        <v>32</v>
      </c>
      <c r="E10" s="9">
        <v>0.57999999999999996</v>
      </c>
      <c r="F10" s="10" t="s">
        <v>17</v>
      </c>
      <c r="G10" s="11"/>
      <c r="H10" s="11"/>
      <c r="I10" s="11"/>
    </row>
    <row r="11" spans="1:9" x14ac:dyDescent="0.2">
      <c r="A11" s="8">
        <v>0.56549768518518517</v>
      </c>
      <c r="B11" s="6">
        <v>6.3398440000000003</v>
      </c>
      <c r="C11" s="10">
        <v>746</v>
      </c>
      <c r="D11" s="10" t="s">
        <v>24</v>
      </c>
      <c r="E11" s="10" t="s">
        <v>24</v>
      </c>
      <c r="F11" s="10" t="s">
        <v>24</v>
      </c>
      <c r="G11" s="11"/>
      <c r="H11" s="11"/>
      <c r="I11" s="11"/>
    </row>
    <row r="12" spans="1:9" x14ac:dyDescent="0.2">
      <c r="A12" s="8">
        <v>0.56550925925925921</v>
      </c>
      <c r="B12" s="6">
        <v>6.8398440000000003</v>
      </c>
      <c r="C12" s="10">
        <v>750</v>
      </c>
      <c r="D12" s="10" t="s">
        <v>24</v>
      </c>
      <c r="E12" s="10" t="s">
        <v>24</v>
      </c>
      <c r="F12" s="10" t="s">
        <v>24</v>
      </c>
      <c r="G12" s="11"/>
      <c r="H12" s="11"/>
      <c r="I12" s="11"/>
    </row>
    <row r="13" spans="1:9" x14ac:dyDescent="0.2">
      <c r="A13" s="8">
        <v>0.56550925925925921</v>
      </c>
      <c r="B13" s="6">
        <v>7.3398440000000003</v>
      </c>
      <c r="C13" s="10">
        <v>748</v>
      </c>
      <c r="D13" s="10" t="s">
        <v>24</v>
      </c>
      <c r="E13" s="10" t="s">
        <v>24</v>
      </c>
      <c r="F13" s="10" t="s">
        <v>24</v>
      </c>
      <c r="G13" s="11"/>
      <c r="H13" s="11"/>
      <c r="I13" s="11"/>
    </row>
    <row r="14" spans="1:9" x14ac:dyDescent="0.2">
      <c r="A14" s="8">
        <v>0.56552083333333336</v>
      </c>
      <c r="B14" s="6">
        <v>7.8398440000000003</v>
      </c>
      <c r="C14" s="10">
        <v>750</v>
      </c>
      <c r="D14" s="10" t="s">
        <v>24</v>
      </c>
      <c r="E14" s="10" t="s">
        <v>24</v>
      </c>
      <c r="F14" s="10" t="s">
        <v>24</v>
      </c>
      <c r="G14" s="11"/>
      <c r="H14" s="11"/>
      <c r="I14" s="11"/>
    </row>
    <row r="15" spans="1:9" x14ac:dyDescent="0.2">
      <c r="A15" s="8">
        <v>0.56552083333333336</v>
      </c>
      <c r="B15" s="6">
        <v>8.3710939999999994</v>
      </c>
      <c r="C15" s="10">
        <v>750</v>
      </c>
      <c r="D15" s="10" t="s">
        <v>32</v>
      </c>
      <c r="E15" s="9">
        <v>0.57999999999999996</v>
      </c>
      <c r="F15" s="10" t="s">
        <v>17</v>
      </c>
      <c r="G15" s="11"/>
      <c r="H15" s="11"/>
      <c r="I15" s="11"/>
    </row>
    <row r="16" spans="1:9" x14ac:dyDescent="0.2">
      <c r="A16" s="8">
        <v>0.5655324074074074</v>
      </c>
      <c r="B16" s="6">
        <v>8.8867189999999994</v>
      </c>
      <c r="C16" s="10">
        <v>747</v>
      </c>
      <c r="D16" s="10" t="s">
        <v>24</v>
      </c>
      <c r="E16" s="10" t="s">
        <v>24</v>
      </c>
      <c r="F16" s="10" t="s">
        <v>24</v>
      </c>
      <c r="G16" s="11"/>
      <c r="H16" s="11"/>
      <c r="I16" s="11"/>
    </row>
    <row r="17" spans="1:9" x14ac:dyDescent="0.2">
      <c r="A17" s="8">
        <v>0.5655324074074074</v>
      </c>
      <c r="B17" s="6">
        <v>9.3867189999999994</v>
      </c>
      <c r="C17" s="10">
        <v>748</v>
      </c>
      <c r="D17" s="10" t="s">
        <v>24</v>
      </c>
      <c r="E17" s="10" t="s">
        <v>24</v>
      </c>
      <c r="F17" s="10" t="s">
        <v>24</v>
      </c>
      <c r="G17" s="11"/>
      <c r="H17" s="11"/>
      <c r="I17" s="11"/>
    </row>
    <row r="18" spans="1:9" x14ac:dyDescent="0.2">
      <c r="A18" s="8">
        <v>0.56554398148148144</v>
      </c>
      <c r="B18" s="6">
        <v>9.8867189999999994</v>
      </c>
      <c r="C18" s="10">
        <v>749</v>
      </c>
      <c r="D18" s="10" t="s">
        <v>24</v>
      </c>
      <c r="E18" s="10" t="s">
        <v>24</v>
      </c>
      <c r="F18" s="10" t="s">
        <v>24</v>
      </c>
      <c r="G18" s="11"/>
      <c r="H18" s="11"/>
      <c r="I18" s="11"/>
    </row>
    <row r="19" spans="1:9" x14ac:dyDescent="0.2">
      <c r="A19" s="8">
        <v>0.56554398148148144</v>
      </c>
      <c r="B19" s="6">
        <v>10.38672</v>
      </c>
      <c r="C19" s="10">
        <v>751</v>
      </c>
      <c r="D19" s="10" t="s">
        <v>24</v>
      </c>
      <c r="E19" s="10" t="s">
        <v>24</v>
      </c>
      <c r="F19" s="10" t="s">
        <v>24</v>
      </c>
      <c r="G19" s="11"/>
      <c r="H19" s="11"/>
      <c r="I19" s="11"/>
    </row>
    <row r="20" spans="1:9" x14ac:dyDescent="0.2">
      <c r="A20" s="8">
        <v>0.56555555555555559</v>
      </c>
      <c r="B20" s="6">
        <v>10.91797</v>
      </c>
      <c r="C20" s="10">
        <v>748</v>
      </c>
      <c r="D20" s="10" t="s">
        <v>32</v>
      </c>
      <c r="E20" s="9">
        <v>0.57999999999999996</v>
      </c>
      <c r="F20" s="10" t="s">
        <v>17</v>
      </c>
      <c r="G20" s="11"/>
      <c r="H20" s="11"/>
      <c r="I20" s="11"/>
    </row>
    <row r="21" spans="1:9" x14ac:dyDescent="0.2">
      <c r="A21" s="8">
        <v>0.56555555555555559</v>
      </c>
      <c r="B21" s="6">
        <v>11.433590000000001</v>
      </c>
      <c r="C21" s="10">
        <v>750</v>
      </c>
      <c r="D21" s="10" t="s">
        <v>24</v>
      </c>
      <c r="E21" s="10" t="s">
        <v>24</v>
      </c>
      <c r="F21" s="10" t="s">
        <v>24</v>
      </c>
      <c r="G21" s="11"/>
      <c r="H21" s="11"/>
      <c r="I21" s="11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0C09F-9AFD-4F67-ACB6-A5D5BD5EF4D6}">
  <dimension ref="A1:I27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25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0.57422453703703702</v>
      </c>
      <c r="B2" s="6">
        <v>1.792969</v>
      </c>
      <c r="C2" s="10">
        <v>763</v>
      </c>
      <c r="D2" s="10" t="s">
        <v>24</v>
      </c>
      <c r="E2" s="10" t="s">
        <v>24</v>
      </c>
      <c r="F2" s="10" t="s">
        <v>24</v>
      </c>
      <c r="G2" s="11"/>
      <c r="H2" s="11">
        <f>AVERAGE(C2:C21)</f>
        <v>759.55</v>
      </c>
      <c r="I2" s="11"/>
    </row>
    <row r="3" spans="1:9" x14ac:dyDescent="0.2">
      <c r="A3" s="8">
        <v>0.57423611111111106</v>
      </c>
      <c r="B3" s="6">
        <v>2.2617189999999998</v>
      </c>
      <c r="C3" s="10">
        <v>765</v>
      </c>
      <c r="D3" s="10" t="s">
        <v>24</v>
      </c>
      <c r="E3" s="10" t="s">
        <v>24</v>
      </c>
      <c r="F3" s="10" t="s">
        <v>24</v>
      </c>
      <c r="G3" s="11"/>
      <c r="H3" s="11">
        <f>91*(1023-H2)/H2</f>
        <v>31.563359884141935</v>
      </c>
      <c r="I3" s="11"/>
    </row>
    <row r="4" spans="1:9" x14ac:dyDescent="0.2">
      <c r="A4" s="8">
        <v>0.57423611111111106</v>
      </c>
      <c r="B4" s="6">
        <v>2.7617189999999998</v>
      </c>
      <c r="C4" s="10">
        <v>764</v>
      </c>
      <c r="D4" s="10" t="s">
        <v>24</v>
      </c>
      <c r="E4" s="10" t="s">
        <v>24</v>
      </c>
      <c r="F4" s="10" t="s">
        <v>24</v>
      </c>
      <c r="G4" s="11"/>
      <c r="H4" s="11"/>
      <c r="I4" s="11"/>
    </row>
    <row r="5" spans="1:9" x14ac:dyDescent="0.2">
      <c r="A5" s="8">
        <v>0.57424768518518521</v>
      </c>
      <c r="B5" s="6">
        <v>3.2851560000000002</v>
      </c>
      <c r="C5" s="10">
        <v>762</v>
      </c>
      <c r="D5" s="10" t="s">
        <v>26</v>
      </c>
      <c r="E5" s="9">
        <v>0.55000000000000004</v>
      </c>
      <c r="F5" s="10" t="s">
        <v>17</v>
      </c>
      <c r="G5" s="11"/>
      <c r="H5" s="11"/>
      <c r="I5" s="11"/>
    </row>
    <row r="6" spans="1:9" x14ac:dyDescent="0.2">
      <c r="A6" s="8">
        <v>0.57424768518518521</v>
      </c>
      <c r="B6" s="6">
        <v>3.8085939999999998</v>
      </c>
      <c r="C6" s="10">
        <v>761</v>
      </c>
      <c r="D6" s="10" t="s">
        <v>24</v>
      </c>
      <c r="E6" s="10" t="s">
        <v>24</v>
      </c>
      <c r="F6" s="10" t="s">
        <v>24</v>
      </c>
      <c r="G6" s="11"/>
      <c r="H6" s="11"/>
      <c r="I6" s="11"/>
    </row>
    <row r="7" spans="1:9" x14ac:dyDescent="0.2">
      <c r="A7" s="8">
        <v>0.57425925925925925</v>
      </c>
      <c r="B7" s="6">
        <v>4.3085940000000003</v>
      </c>
      <c r="C7" s="10">
        <v>762</v>
      </c>
      <c r="D7" s="10" t="s">
        <v>24</v>
      </c>
      <c r="E7" s="10" t="s">
        <v>24</v>
      </c>
      <c r="F7" s="10" t="s">
        <v>24</v>
      </c>
      <c r="G7" s="11"/>
      <c r="H7" s="11"/>
      <c r="I7" s="11"/>
    </row>
    <row r="8" spans="1:9" x14ac:dyDescent="0.2">
      <c r="A8" s="8">
        <v>0.57425925925925925</v>
      </c>
      <c r="B8" s="6">
        <v>4.8046879999999996</v>
      </c>
      <c r="C8" s="10">
        <v>761</v>
      </c>
      <c r="D8" s="10" t="s">
        <v>24</v>
      </c>
      <c r="E8" s="10" t="s">
        <v>24</v>
      </c>
      <c r="F8" s="10" t="s">
        <v>24</v>
      </c>
      <c r="G8" s="11"/>
      <c r="H8" s="11"/>
      <c r="I8" s="11"/>
    </row>
    <row r="9" spans="1:9" x14ac:dyDescent="0.2">
      <c r="A9" s="8">
        <v>0.57427083333333329</v>
      </c>
      <c r="B9" s="6">
        <v>5.3046879999999996</v>
      </c>
      <c r="C9" s="10">
        <v>760</v>
      </c>
      <c r="D9" s="10" t="s">
        <v>24</v>
      </c>
      <c r="E9" s="10" t="s">
        <v>24</v>
      </c>
      <c r="F9" s="10" t="s">
        <v>24</v>
      </c>
      <c r="G9" s="11"/>
      <c r="H9" s="11"/>
      <c r="I9" s="11"/>
    </row>
    <row r="10" spans="1:9" x14ac:dyDescent="0.2">
      <c r="A10" s="8">
        <v>0.57427083333333329</v>
      </c>
      <c r="B10" s="6">
        <v>5.8320309999999997</v>
      </c>
      <c r="C10" s="10">
        <v>761</v>
      </c>
      <c r="D10" s="10" t="s">
        <v>26</v>
      </c>
      <c r="E10" s="9">
        <v>0.55000000000000004</v>
      </c>
      <c r="F10" s="10" t="s">
        <v>17</v>
      </c>
      <c r="G10" s="11"/>
      <c r="H10" s="11"/>
      <c r="I10" s="11"/>
    </row>
    <row r="11" spans="1:9" x14ac:dyDescent="0.2">
      <c r="A11" s="8">
        <v>0.57428240740740744</v>
      </c>
      <c r="B11" s="6">
        <v>6.3476559999999997</v>
      </c>
      <c r="C11" s="10">
        <v>760</v>
      </c>
      <c r="D11" s="10" t="s">
        <v>24</v>
      </c>
      <c r="E11" s="10" t="s">
        <v>24</v>
      </c>
      <c r="F11" s="10" t="s">
        <v>24</v>
      </c>
      <c r="G11" s="11"/>
      <c r="H11" s="11"/>
      <c r="I11" s="11"/>
    </row>
    <row r="12" spans="1:9" x14ac:dyDescent="0.2">
      <c r="A12" s="8">
        <v>0.57428240740740744</v>
      </c>
      <c r="B12" s="6">
        <v>6.8515629999999996</v>
      </c>
      <c r="C12" s="10">
        <v>758</v>
      </c>
      <c r="D12" s="10" t="s">
        <v>24</v>
      </c>
      <c r="E12" s="10" t="s">
        <v>24</v>
      </c>
      <c r="F12" s="10" t="s">
        <v>24</v>
      </c>
      <c r="G12" s="11"/>
      <c r="H12" s="11"/>
      <c r="I12" s="11"/>
    </row>
    <row r="13" spans="1:9" x14ac:dyDescent="0.2">
      <c r="A13" s="8">
        <v>0.57429398148148147</v>
      </c>
      <c r="B13" s="6">
        <v>7.3515629999999996</v>
      </c>
      <c r="C13" s="10">
        <v>759</v>
      </c>
      <c r="D13" s="10" t="s">
        <v>24</v>
      </c>
      <c r="E13" s="10" t="s">
        <v>24</v>
      </c>
      <c r="F13" s="10" t="s">
        <v>24</v>
      </c>
      <c r="G13" s="11"/>
      <c r="H13" s="11"/>
      <c r="I13" s="11"/>
    </row>
    <row r="14" spans="1:9" x14ac:dyDescent="0.2">
      <c r="A14" s="8">
        <v>0.57429398148148147</v>
      </c>
      <c r="B14" s="6">
        <v>7.8515629999999996</v>
      </c>
      <c r="C14" s="10">
        <v>757</v>
      </c>
      <c r="D14" s="10" t="s">
        <v>24</v>
      </c>
      <c r="E14" s="10" t="s">
        <v>24</v>
      </c>
      <c r="F14" s="10" t="s">
        <v>24</v>
      </c>
      <c r="G14" s="11"/>
      <c r="H14" s="11"/>
      <c r="I14" s="11"/>
    </row>
    <row r="15" spans="1:9" x14ac:dyDescent="0.2">
      <c r="A15" s="8">
        <v>0.57430555555555551</v>
      </c>
      <c r="B15" s="6">
        <v>8.375</v>
      </c>
      <c r="C15" s="10">
        <v>758</v>
      </c>
      <c r="D15" s="10" t="s">
        <v>26</v>
      </c>
      <c r="E15" s="9">
        <v>0.55000000000000004</v>
      </c>
      <c r="F15" s="10" t="s">
        <v>17</v>
      </c>
      <c r="G15" s="11"/>
      <c r="H15" s="11"/>
      <c r="I15" s="11"/>
    </row>
    <row r="16" spans="1:9" x14ac:dyDescent="0.2">
      <c r="A16" s="8">
        <v>0.57430555555555551</v>
      </c>
      <c r="B16" s="6">
        <v>8.890625</v>
      </c>
      <c r="C16" s="10">
        <v>758</v>
      </c>
      <c r="D16" s="10" t="s">
        <v>24</v>
      </c>
      <c r="E16" s="10" t="s">
        <v>24</v>
      </c>
      <c r="F16" s="10" t="s">
        <v>24</v>
      </c>
      <c r="G16" s="11"/>
      <c r="H16" s="11"/>
      <c r="I16" s="11"/>
    </row>
    <row r="17" spans="1:9" x14ac:dyDescent="0.2">
      <c r="A17" s="8">
        <v>0.57431712962962966</v>
      </c>
      <c r="B17" s="6">
        <v>9.3945310000000006</v>
      </c>
      <c r="C17" s="10">
        <v>757</v>
      </c>
      <c r="D17" s="10" t="s">
        <v>24</v>
      </c>
      <c r="E17" s="10" t="s">
        <v>24</v>
      </c>
      <c r="F17" s="10" t="s">
        <v>24</v>
      </c>
      <c r="G17" s="11"/>
      <c r="H17" s="11"/>
      <c r="I17" s="11"/>
    </row>
    <row r="18" spans="1:9" x14ac:dyDescent="0.2">
      <c r="A18" s="8">
        <v>0.57431712962962966</v>
      </c>
      <c r="B18" s="6">
        <v>9.8945310000000006</v>
      </c>
      <c r="C18" s="10">
        <v>757</v>
      </c>
      <c r="D18" s="10" t="s">
        <v>24</v>
      </c>
      <c r="E18" s="10" t="s">
        <v>24</v>
      </c>
      <c r="F18" s="10" t="s">
        <v>24</v>
      </c>
      <c r="G18" s="11"/>
      <c r="H18" s="11"/>
      <c r="I18" s="11"/>
    </row>
    <row r="19" spans="1:9" x14ac:dyDescent="0.2">
      <c r="A19" s="8">
        <v>0.5743287037037037</v>
      </c>
      <c r="B19" s="6">
        <v>10.39453</v>
      </c>
      <c r="C19" s="10">
        <v>757</v>
      </c>
      <c r="D19" s="10" t="s">
        <v>24</v>
      </c>
      <c r="E19" s="10" t="s">
        <v>24</v>
      </c>
      <c r="F19" s="10" t="s">
        <v>24</v>
      </c>
      <c r="G19" s="11"/>
      <c r="H19" s="11"/>
      <c r="I19" s="11"/>
    </row>
    <row r="20" spans="1:9" x14ac:dyDescent="0.2">
      <c r="A20" s="8">
        <v>0.5743287037037037</v>
      </c>
      <c r="B20" s="6">
        <v>10.91797</v>
      </c>
      <c r="C20" s="10">
        <v>756</v>
      </c>
      <c r="D20" s="10" t="s">
        <v>26</v>
      </c>
      <c r="E20" s="9">
        <v>0.55000000000000004</v>
      </c>
      <c r="F20" s="10" t="s">
        <v>17</v>
      </c>
      <c r="G20" s="11"/>
      <c r="H20" s="11"/>
      <c r="I20" s="11"/>
    </row>
    <row r="21" spans="1:9" x14ac:dyDescent="0.2">
      <c r="A21" s="8">
        <v>0.57434027777777774</v>
      </c>
      <c r="B21" s="6">
        <v>11.433590000000001</v>
      </c>
      <c r="C21" s="10">
        <v>755</v>
      </c>
      <c r="D21" s="10" t="s">
        <v>24</v>
      </c>
      <c r="E21" s="10" t="s">
        <v>24</v>
      </c>
      <c r="F21" s="10" t="s">
        <v>24</v>
      </c>
      <c r="G21" s="11"/>
      <c r="H21" s="11"/>
      <c r="I21" s="11"/>
    </row>
    <row r="22" spans="1:9" x14ac:dyDescent="0.2">
      <c r="A22" s="8"/>
      <c r="C22" s="10"/>
      <c r="D22" s="10"/>
      <c r="E22" s="10"/>
      <c r="F22" s="10"/>
      <c r="G22" s="11"/>
      <c r="H22" s="11"/>
      <c r="I22" s="11"/>
    </row>
    <row r="23" spans="1:9" x14ac:dyDescent="0.2">
      <c r="A23" s="8"/>
      <c r="C23" s="10"/>
      <c r="D23" s="10"/>
      <c r="E23" s="9"/>
      <c r="F23" s="10"/>
      <c r="G23" s="11"/>
      <c r="H23" s="11"/>
      <c r="I23" s="11"/>
    </row>
    <row r="24" spans="1:9" x14ac:dyDescent="0.2">
      <c r="A24" s="8"/>
      <c r="C24" s="10"/>
      <c r="D24" s="10"/>
      <c r="E24" s="10"/>
      <c r="F24" s="10"/>
      <c r="G24" s="11"/>
      <c r="H24" s="11"/>
      <c r="I24" s="11"/>
    </row>
    <row r="25" spans="1:9" x14ac:dyDescent="0.2">
      <c r="A25" s="8"/>
      <c r="E25" s="9"/>
    </row>
    <row r="26" spans="1:9" x14ac:dyDescent="0.2">
      <c r="A26" s="8"/>
    </row>
    <row r="27" spans="1:9" x14ac:dyDescent="0.2">
      <c r="A27" s="8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6AA0-7B34-4E20-A60C-8CA3AED583A0}">
  <dimension ref="A1:I27"/>
  <sheetViews>
    <sheetView tabSelected="1"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25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0.61262731481481481</v>
      </c>
      <c r="B2" s="6">
        <v>1.7890630000000001</v>
      </c>
      <c r="C2" s="10">
        <v>798</v>
      </c>
      <c r="D2" s="10" t="s">
        <v>24</v>
      </c>
      <c r="E2" s="10" t="s">
        <v>24</v>
      </c>
      <c r="F2" s="10" t="s">
        <v>24</v>
      </c>
      <c r="G2" s="11"/>
      <c r="H2" s="11">
        <f>AVERAGE(C2:C21)</f>
        <v>799.2</v>
      </c>
      <c r="I2" s="11"/>
    </row>
    <row r="3" spans="1:9" x14ac:dyDescent="0.2">
      <c r="A3" s="8">
        <v>0.61262731481481481</v>
      </c>
      <c r="B3" s="6">
        <v>2.2578130000000001</v>
      </c>
      <c r="C3" s="10">
        <v>797</v>
      </c>
      <c r="D3" s="10" t="s">
        <v>24</v>
      </c>
      <c r="E3" s="10" t="s">
        <v>24</v>
      </c>
      <c r="F3" s="10" t="s">
        <v>24</v>
      </c>
      <c r="G3" s="11"/>
      <c r="H3" s="11">
        <f>91*(1023-H2)/H2</f>
        <v>25.482732732732725</v>
      </c>
      <c r="I3" s="11"/>
    </row>
    <row r="4" spans="1:9" x14ac:dyDescent="0.2">
      <c r="A4" s="8">
        <v>0.61263888888888884</v>
      </c>
      <c r="B4" s="6">
        <v>2.7578130000000001</v>
      </c>
      <c r="C4" s="10">
        <v>797</v>
      </c>
      <c r="D4" s="10" t="s">
        <v>24</v>
      </c>
      <c r="E4" s="10" t="s">
        <v>24</v>
      </c>
      <c r="F4" s="10" t="s">
        <v>24</v>
      </c>
      <c r="G4" s="11"/>
      <c r="H4" s="11"/>
      <c r="I4" s="11"/>
    </row>
    <row r="5" spans="1:9" x14ac:dyDescent="0.2">
      <c r="A5" s="8">
        <v>0.61263888888888884</v>
      </c>
      <c r="B5" s="6">
        <v>3.2890630000000001</v>
      </c>
      <c r="C5" s="10">
        <v>798</v>
      </c>
      <c r="D5" s="10" t="s">
        <v>26</v>
      </c>
      <c r="E5" s="9">
        <v>0.52</v>
      </c>
      <c r="F5" s="10" t="s">
        <v>17</v>
      </c>
      <c r="G5" s="11"/>
      <c r="H5" s="11"/>
      <c r="I5" s="11"/>
    </row>
    <row r="6" spans="1:9" x14ac:dyDescent="0.2">
      <c r="A6" s="8">
        <v>0.61265046296296299</v>
      </c>
      <c r="B6" s="6">
        <v>3.8046880000000001</v>
      </c>
      <c r="C6" s="10">
        <v>798</v>
      </c>
      <c r="D6" s="10" t="s">
        <v>24</v>
      </c>
      <c r="E6" s="10" t="s">
        <v>24</v>
      </c>
      <c r="F6" s="10" t="s">
        <v>24</v>
      </c>
      <c r="G6" s="11"/>
      <c r="H6" s="11"/>
      <c r="I6" s="11"/>
    </row>
    <row r="7" spans="1:9" x14ac:dyDescent="0.2">
      <c r="A7" s="8">
        <v>0.61266203703703703</v>
      </c>
      <c r="B7" s="6">
        <v>4.3046879999999996</v>
      </c>
      <c r="C7" s="10">
        <v>799</v>
      </c>
      <c r="D7" s="10" t="s">
        <v>24</v>
      </c>
      <c r="E7" s="10" t="s">
        <v>24</v>
      </c>
      <c r="F7" s="10" t="s">
        <v>24</v>
      </c>
      <c r="G7" s="11"/>
      <c r="H7" s="11"/>
      <c r="I7" s="11"/>
    </row>
    <row r="8" spans="1:9" x14ac:dyDescent="0.2">
      <c r="A8" s="8">
        <v>0.61266203703703703</v>
      </c>
      <c r="B8" s="6">
        <v>4.8085940000000003</v>
      </c>
      <c r="C8" s="10">
        <v>799</v>
      </c>
      <c r="D8" s="10" t="s">
        <v>24</v>
      </c>
      <c r="E8" s="10" t="s">
        <v>24</v>
      </c>
      <c r="F8" s="10" t="s">
        <v>24</v>
      </c>
      <c r="G8" s="11"/>
      <c r="H8" s="11"/>
      <c r="I8" s="11"/>
    </row>
    <row r="9" spans="1:9" x14ac:dyDescent="0.2">
      <c r="A9" s="8">
        <v>0.61267361111111107</v>
      </c>
      <c r="B9" s="6">
        <v>5.3085940000000003</v>
      </c>
      <c r="C9" s="10">
        <v>800</v>
      </c>
      <c r="D9" s="10" t="s">
        <v>24</v>
      </c>
      <c r="E9" s="10" t="s">
        <v>24</v>
      </c>
      <c r="F9" s="10" t="s">
        <v>24</v>
      </c>
      <c r="G9" s="11"/>
      <c r="H9" s="11"/>
      <c r="I9" s="11"/>
    </row>
    <row r="10" spans="1:9" x14ac:dyDescent="0.2">
      <c r="A10" s="8">
        <v>0.61267361111111107</v>
      </c>
      <c r="B10" s="6">
        <v>5.8242190000000003</v>
      </c>
      <c r="C10" s="10">
        <v>799</v>
      </c>
      <c r="D10" s="10" t="s">
        <v>26</v>
      </c>
      <c r="E10" s="9">
        <v>0.52</v>
      </c>
      <c r="F10" s="10" t="s">
        <v>17</v>
      </c>
      <c r="G10" s="11"/>
      <c r="H10" s="11"/>
      <c r="I10" s="11"/>
    </row>
    <row r="11" spans="1:9" x14ac:dyDescent="0.2">
      <c r="A11" s="8">
        <v>0.61268518518518522</v>
      </c>
      <c r="B11" s="6">
        <v>6.3398440000000003</v>
      </c>
      <c r="C11" s="10">
        <v>800</v>
      </c>
      <c r="D11" s="10" t="s">
        <v>24</v>
      </c>
      <c r="E11" s="10" t="s">
        <v>24</v>
      </c>
      <c r="F11" s="10" t="s">
        <v>24</v>
      </c>
      <c r="G11" s="11"/>
      <c r="H11" s="11"/>
      <c r="I11" s="11"/>
    </row>
    <row r="12" spans="1:9" x14ac:dyDescent="0.2">
      <c r="A12" s="8">
        <v>0.61268518518518522</v>
      </c>
      <c r="B12" s="6">
        <v>6.8359379999999996</v>
      </c>
      <c r="C12" s="10">
        <v>799</v>
      </c>
      <c r="D12" s="10" t="s">
        <v>24</v>
      </c>
      <c r="E12" s="10" t="s">
        <v>24</v>
      </c>
      <c r="F12" s="10" t="s">
        <v>24</v>
      </c>
      <c r="G12" s="11"/>
      <c r="H12" s="11"/>
      <c r="I12" s="11"/>
    </row>
    <row r="13" spans="1:9" x14ac:dyDescent="0.2">
      <c r="A13" s="8">
        <v>0.61269675925925926</v>
      </c>
      <c r="B13" s="6">
        <v>7.3359379999999996</v>
      </c>
      <c r="C13" s="10">
        <v>799</v>
      </c>
      <c r="D13" s="10" t="s">
        <v>24</v>
      </c>
      <c r="E13" s="10" t="s">
        <v>24</v>
      </c>
      <c r="F13" s="10" t="s">
        <v>24</v>
      </c>
      <c r="G13" s="11"/>
      <c r="H13" s="11"/>
      <c r="I13" s="11"/>
    </row>
    <row r="14" spans="1:9" x14ac:dyDescent="0.2">
      <c r="A14" s="8">
        <v>0.61269675925925926</v>
      </c>
      <c r="B14" s="6">
        <v>7.8359379999999996</v>
      </c>
      <c r="C14" s="10">
        <v>800</v>
      </c>
      <c r="D14" s="10" t="s">
        <v>24</v>
      </c>
      <c r="E14" s="10" t="s">
        <v>24</v>
      </c>
      <c r="F14" s="10" t="s">
        <v>24</v>
      </c>
      <c r="G14" s="11"/>
      <c r="H14" s="11"/>
      <c r="I14" s="11"/>
    </row>
    <row r="15" spans="1:9" x14ac:dyDescent="0.2">
      <c r="A15" s="8">
        <v>0.6127083333333333</v>
      </c>
      <c r="B15" s="6">
        <v>8.3671880000000005</v>
      </c>
      <c r="C15" s="10">
        <v>801</v>
      </c>
      <c r="D15" s="10" t="s">
        <v>26</v>
      </c>
      <c r="E15" s="9">
        <v>0.52</v>
      </c>
      <c r="F15" s="10" t="s">
        <v>17</v>
      </c>
      <c r="G15" s="11"/>
      <c r="H15" s="11"/>
      <c r="I15" s="11"/>
    </row>
    <row r="16" spans="1:9" x14ac:dyDescent="0.2">
      <c r="A16" s="8">
        <v>0.6127083333333333</v>
      </c>
      <c r="B16" s="6">
        <v>8.8828130000000005</v>
      </c>
      <c r="C16" s="10">
        <v>802</v>
      </c>
      <c r="D16" s="10" t="s">
        <v>24</v>
      </c>
      <c r="E16" s="10" t="s">
        <v>24</v>
      </c>
      <c r="F16" s="10" t="s">
        <v>24</v>
      </c>
      <c r="G16" s="11"/>
      <c r="H16" s="11"/>
      <c r="I16" s="11"/>
    </row>
    <row r="17" spans="1:9" x14ac:dyDescent="0.2">
      <c r="A17" s="8">
        <v>0.61271990740740745</v>
      </c>
      <c r="B17" s="6">
        <v>9.3828130000000005</v>
      </c>
      <c r="C17" s="10">
        <v>800</v>
      </c>
      <c r="D17" s="10" t="s">
        <v>24</v>
      </c>
      <c r="E17" s="10" t="s">
        <v>24</v>
      </c>
      <c r="F17" s="10" t="s">
        <v>24</v>
      </c>
      <c r="G17" s="11"/>
      <c r="H17" s="11"/>
      <c r="I17" s="11"/>
    </row>
    <row r="18" spans="1:9" x14ac:dyDescent="0.2">
      <c r="A18" s="8">
        <v>0.61271990740740745</v>
      </c>
      <c r="B18" s="6">
        <v>9.8828130000000005</v>
      </c>
      <c r="C18" s="10">
        <v>801</v>
      </c>
      <c r="D18" s="10" t="s">
        <v>24</v>
      </c>
      <c r="E18" s="10" t="s">
        <v>24</v>
      </c>
      <c r="F18" s="10" t="s">
        <v>24</v>
      </c>
      <c r="G18" s="11"/>
      <c r="H18" s="11"/>
      <c r="I18" s="11"/>
    </row>
    <row r="19" spans="1:9" x14ac:dyDescent="0.2">
      <c r="A19" s="8">
        <v>0.61273148148148149</v>
      </c>
      <c r="B19" s="6">
        <v>10.382809999999999</v>
      </c>
      <c r="C19" s="10">
        <v>801</v>
      </c>
      <c r="D19" s="10" t="s">
        <v>24</v>
      </c>
      <c r="E19" s="10" t="s">
        <v>24</v>
      </c>
      <c r="F19" s="10" t="s">
        <v>24</v>
      </c>
      <c r="G19" s="11"/>
      <c r="H19" s="11"/>
      <c r="I19" s="11"/>
    </row>
    <row r="20" spans="1:9" x14ac:dyDescent="0.2">
      <c r="A20" s="8">
        <v>0.61273148148148149</v>
      </c>
      <c r="B20" s="6">
        <v>10.914059999999999</v>
      </c>
      <c r="C20" s="10">
        <v>801</v>
      </c>
      <c r="D20" s="10" t="s">
        <v>26</v>
      </c>
      <c r="E20" s="9">
        <v>0.52</v>
      </c>
      <c r="F20" s="10" t="s">
        <v>17</v>
      </c>
      <c r="G20" s="11"/>
      <c r="H20" s="11"/>
      <c r="I20" s="11"/>
    </row>
    <row r="21" spans="1:9" x14ac:dyDescent="0.2">
      <c r="A21" s="8">
        <v>0.61274305555555553</v>
      </c>
      <c r="B21" s="6">
        <v>11.429690000000001</v>
      </c>
      <c r="C21" s="10">
        <v>795</v>
      </c>
      <c r="D21" s="10" t="s">
        <v>24</v>
      </c>
      <c r="E21" s="10" t="s">
        <v>24</v>
      </c>
      <c r="F21" s="10" t="s">
        <v>24</v>
      </c>
      <c r="G21" s="11"/>
      <c r="H21" s="11"/>
      <c r="I21" s="11"/>
    </row>
    <row r="22" spans="1:9" x14ac:dyDescent="0.2">
      <c r="A22" s="10"/>
      <c r="C22" s="10"/>
      <c r="D22" s="10"/>
      <c r="E22" s="10"/>
      <c r="F22" s="10"/>
      <c r="G22" s="11"/>
      <c r="H22" s="11"/>
      <c r="I22" s="11"/>
    </row>
    <row r="23" spans="1:9" x14ac:dyDescent="0.2">
      <c r="A23" s="10"/>
      <c r="C23" s="10"/>
      <c r="D23" s="10"/>
      <c r="E23" s="10"/>
      <c r="F23" s="10"/>
      <c r="G23" s="11"/>
      <c r="H23" s="11"/>
      <c r="I23" s="11"/>
    </row>
    <row r="24" spans="1:9" x14ac:dyDescent="0.2">
      <c r="A24" s="10"/>
      <c r="C24" s="10"/>
      <c r="D24" s="10"/>
      <c r="E24" s="10"/>
      <c r="F24" s="10"/>
      <c r="G24" s="11"/>
      <c r="H24" s="11"/>
      <c r="I24" s="11"/>
    </row>
    <row r="25" spans="1:9" x14ac:dyDescent="0.2">
      <c r="A25" s="10"/>
      <c r="C25" s="10"/>
      <c r="D25" s="10"/>
      <c r="E25" s="10"/>
      <c r="F25" s="10"/>
      <c r="G25" s="11"/>
      <c r="H25" s="11"/>
      <c r="I25" s="11"/>
    </row>
    <row r="26" spans="1:9" x14ac:dyDescent="0.2">
      <c r="A26" s="10"/>
      <c r="C26" s="10"/>
      <c r="D26" s="10"/>
      <c r="E26" s="10"/>
      <c r="F26" s="10"/>
      <c r="G26" s="11"/>
      <c r="H26" s="11"/>
      <c r="I26" s="11"/>
    </row>
    <row r="27" spans="1:9" x14ac:dyDescent="0.2">
      <c r="A27" s="10"/>
      <c r="C27" s="10"/>
      <c r="D27" s="10"/>
      <c r="E27" s="10"/>
      <c r="F27" s="10"/>
      <c r="G27" s="11"/>
      <c r="H27" s="11"/>
      <c r="I27" s="11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20FAB-86A4-4A59-9CA0-49D96976EAAA}">
  <dimension ref="A1:I27"/>
  <sheetViews>
    <sheetView workbookViewId="0">
      <selection activeCell="G8" sqref="G8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25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0.57063657407407409</v>
      </c>
      <c r="B2" s="6">
        <v>1.796875</v>
      </c>
      <c r="C2" s="10">
        <v>754</v>
      </c>
      <c r="D2" s="10" t="s">
        <v>24</v>
      </c>
      <c r="E2" s="10" t="s">
        <v>24</v>
      </c>
      <c r="F2" s="10" t="s">
        <v>24</v>
      </c>
      <c r="G2" s="11"/>
      <c r="H2" s="11">
        <f>AVERAGE(C2:C21)</f>
        <v>752.3</v>
      </c>
      <c r="I2" s="11"/>
    </row>
    <row r="3" spans="1:9" x14ac:dyDescent="0.2">
      <c r="A3" s="8">
        <v>0.57063657407407409</v>
      </c>
      <c r="B3" s="6">
        <v>2.265625</v>
      </c>
      <c r="C3" s="10">
        <v>753</v>
      </c>
      <c r="D3" s="10" t="s">
        <v>24</v>
      </c>
      <c r="E3" s="10" t="s">
        <v>24</v>
      </c>
      <c r="F3" s="10" t="s">
        <v>24</v>
      </c>
      <c r="G3" s="11"/>
      <c r="H3" s="11">
        <f>91*(1023-H2)/H2</f>
        <v>32.744516815100368</v>
      </c>
      <c r="I3" s="11"/>
    </row>
    <row r="4" spans="1:9" x14ac:dyDescent="0.2">
      <c r="A4" s="8">
        <v>0.57064814814814813</v>
      </c>
      <c r="B4" s="6">
        <v>2.765625</v>
      </c>
      <c r="C4" s="10">
        <v>753</v>
      </c>
      <c r="D4" s="10" t="s">
        <v>24</v>
      </c>
      <c r="E4" s="10" t="s">
        <v>24</v>
      </c>
      <c r="F4" s="10" t="s">
        <v>24</v>
      </c>
      <c r="G4" s="11"/>
      <c r="H4" s="11"/>
      <c r="I4" s="11"/>
    </row>
    <row r="5" spans="1:9" x14ac:dyDescent="0.2">
      <c r="A5" s="8">
        <v>0.57064814814814813</v>
      </c>
      <c r="B5" s="6">
        <v>3.2929689999999998</v>
      </c>
      <c r="C5" s="10">
        <v>752</v>
      </c>
      <c r="D5" s="10" t="s">
        <v>26</v>
      </c>
      <c r="E5" s="9">
        <v>0.55000000000000004</v>
      </c>
      <c r="F5" s="10" t="s">
        <v>17</v>
      </c>
      <c r="G5" s="11"/>
      <c r="H5" s="11"/>
      <c r="I5" s="11"/>
    </row>
    <row r="6" spans="1:9" x14ac:dyDescent="0.2">
      <c r="A6" s="8">
        <v>0.57065972222222228</v>
      </c>
      <c r="B6" s="6">
        <v>3.8085939999999998</v>
      </c>
      <c r="C6" s="10">
        <v>753</v>
      </c>
      <c r="D6" s="10" t="s">
        <v>24</v>
      </c>
      <c r="E6" s="10" t="s">
        <v>24</v>
      </c>
      <c r="F6" s="10" t="s">
        <v>24</v>
      </c>
      <c r="G6" s="11"/>
      <c r="H6" s="11"/>
      <c r="I6" s="11"/>
    </row>
    <row r="7" spans="1:9" x14ac:dyDescent="0.2">
      <c r="A7" s="8">
        <v>0.57065972222222228</v>
      </c>
      <c r="B7" s="6">
        <v>4.3046879999999996</v>
      </c>
      <c r="C7" s="10">
        <v>751</v>
      </c>
      <c r="D7" s="10" t="s">
        <v>24</v>
      </c>
      <c r="E7" s="10" t="s">
        <v>24</v>
      </c>
      <c r="F7" s="10" t="s">
        <v>24</v>
      </c>
      <c r="G7" s="11"/>
      <c r="H7" s="11"/>
      <c r="I7" s="11"/>
    </row>
    <row r="8" spans="1:9" x14ac:dyDescent="0.2">
      <c r="A8" s="8">
        <v>0.57067129629629632</v>
      </c>
      <c r="B8" s="6">
        <v>4.8046879999999996</v>
      </c>
      <c r="C8" s="10">
        <v>753</v>
      </c>
      <c r="D8" s="10" t="s">
        <v>24</v>
      </c>
      <c r="E8" s="10" t="s">
        <v>24</v>
      </c>
      <c r="F8" s="10" t="s">
        <v>24</v>
      </c>
      <c r="G8" s="11"/>
      <c r="H8" s="11"/>
      <c r="I8" s="11"/>
    </row>
    <row r="9" spans="1:9" x14ac:dyDescent="0.2">
      <c r="A9" s="8">
        <v>0.57067129629629632</v>
      </c>
      <c r="B9" s="6">
        <v>5.3085940000000003</v>
      </c>
      <c r="C9" s="10">
        <v>750</v>
      </c>
      <c r="D9" s="10" t="s">
        <v>24</v>
      </c>
      <c r="E9" s="10" t="s">
        <v>24</v>
      </c>
      <c r="F9" s="10" t="s">
        <v>24</v>
      </c>
      <c r="G9" s="11"/>
      <c r="H9" s="11"/>
      <c r="I9" s="11"/>
    </row>
    <row r="10" spans="1:9" x14ac:dyDescent="0.2">
      <c r="A10" s="8">
        <v>0.57068287037037035</v>
      </c>
      <c r="B10" s="6">
        <v>5.8359379999999996</v>
      </c>
      <c r="C10" s="10">
        <v>752</v>
      </c>
      <c r="D10" s="10" t="s">
        <v>26</v>
      </c>
      <c r="E10" s="9">
        <v>0.55000000000000004</v>
      </c>
      <c r="F10" s="10" t="s">
        <v>17</v>
      </c>
      <c r="G10" s="11"/>
      <c r="H10" s="11"/>
      <c r="I10" s="11"/>
    </row>
    <row r="11" spans="1:9" x14ac:dyDescent="0.2">
      <c r="A11" s="8">
        <v>0.57068287037037035</v>
      </c>
      <c r="B11" s="6">
        <v>6.3515629999999996</v>
      </c>
      <c r="C11" s="10">
        <v>753</v>
      </c>
      <c r="D11" s="10" t="s">
        <v>24</v>
      </c>
      <c r="E11" s="10" t="s">
        <v>24</v>
      </c>
      <c r="F11" s="10" t="s">
        <v>24</v>
      </c>
      <c r="G11" s="11"/>
      <c r="H11" s="11"/>
      <c r="I11" s="11"/>
    </row>
    <row r="12" spans="1:9" x14ac:dyDescent="0.2">
      <c r="A12" s="8">
        <v>0.57069444444444439</v>
      </c>
      <c r="B12" s="6">
        <v>6.8515629999999996</v>
      </c>
      <c r="C12" s="10">
        <v>751</v>
      </c>
      <c r="D12" s="10" t="s">
        <v>24</v>
      </c>
      <c r="E12" s="10" t="s">
        <v>24</v>
      </c>
      <c r="F12" s="10" t="s">
        <v>24</v>
      </c>
      <c r="G12" s="11"/>
      <c r="H12" s="11"/>
      <c r="I12" s="11"/>
    </row>
    <row r="13" spans="1:9" x14ac:dyDescent="0.2">
      <c r="A13" s="8">
        <v>0.57069444444444439</v>
      </c>
      <c r="B13" s="6">
        <v>7.3515629999999996</v>
      </c>
      <c r="C13" s="10">
        <v>751</v>
      </c>
      <c r="D13" s="10" t="s">
        <v>24</v>
      </c>
      <c r="E13" s="10" t="s">
        <v>24</v>
      </c>
      <c r="F13" s="10" t="s">
        <v>24</v>
      </c>
      <c r="G13" s="11"/>
      <c r="H13" s="11"/>
      <c r="I13" s="11"/>
    </row>
    <row r="14" spans="1:9" x14ac:dyDescent="0.2">
      <c r="A14" s="8">
        <v>0.57070601851851854</v>
      </c>
      <c r="B14" s="6">
        <v>7.8515629999999996</v>
      </c>
      <c r="C14" s="10">
        <v>751</v>
      </c>
      <c r="D14" s="10" t="s">
        <v>24</v>
      </c>
      <c r="E14" s="10" t="s">
        <v>24</v>
      </c>
      <c r="F14" s="10" t="s">
        <v>24</v>
      </c>
      <c r="G14" s="11"/>
      <c r="H14" s="11"/>
      <c r="I14" s="11"/>
    </row>
    <row r="15" spans="1:9" x14ac:dyDescent="0.2">
      <c r="A15" s="8">
        <v>0.57070601851851854</v>
      </c>
      <c r="B15" s="6">
        <v>8.3789060000000006</v>
      </c>
      <c r="C15" s="10">
        <v>752</v>
      </c>
      <c r="D15" s="10" t="s">
        <v>26</v>
      </c>
      <c r="E15" s="9">
        <v>0.55000000000000004</v>
      </c>
      <c r="F15" s="10" t="s">
        <v>17</v>
      </c>
      <c r="G15" s="11"/>
      <c r="H15" s="11"/>
      <c r="I15" s="11"/>
    </row>
    <row r="16" spans="1:9" x14ac:dyDescent="0.2">
      <c r="A16" s="8">
        <v>0.57071759259259258</v>
      </c>
      <c r="B16" s="6">
        <v>8.8945310000000006</v>
      </c>
      <c r="C16" s="10">
        <v>751</v>
      </c>
      <c r="D16" s="10" t="s">
        <v>24</v>
      </c>
      <c r="E16" s="10" t="s">
        <v>24</v>
      </c>
      <c r="F16" s="10" t="s">
        <v>24</v>
      </c>
      <c r="G16" s="11"/>
      <c r="H16" s="11"/>
      <c r="I16" s="11"/>
    </row>
    <row r="17" spans="1:9" x14ac:dyDescent="0.2">
      <c r="A17" s="8">
        <v>0.57071759259259258</v>
      </c>
      <c r="B17" s="6">
        <v>9.3945310000000006</v>
      </c>
      <c r="C17" s="10">
        <v>755</v>
      </c>
      <c r="D17" s="10" t="s">
        <v>24</v>
      </c>
      <c r="E17" s="10" t="s">
        <v>24</v>
      </c>
      <c r="F17" s="10" t="s">
        <v>24</v>
      </c>
      <c r="G17" s="11"/>
      <c r="H17" s="11"/>
      <c r="I17" s="11"/>
    </row>
    <row r="18" spans="1:9" x14ac:dyDescent="0.2">
      <c r="A18" s="8">
        <v>0.57072916666666662</v>
      </c>
      <c r="B18" s="6">
        <v>9.8945310000000006</v>
      </c>
      <c r="C18" s="10">
        <v>751</v>
      </c>
      <c r="D18" s="10" t="s">
        <v>24</v>
      </c>
      <c r="E18" s="10" t="s">
        <v>24</v>
      </c>
      <c r="F18" s="10" t="s">
        <v>24</v>
      </c>
      <c r="G18" s="11"/>
      <c r="H18" s="11"/>
      <c r="I18" s="11"/>
    </row>
    <row r="19" spans="1:9" x14ac:dyDescent="0.2">
      <c r="A19" s="8">
        <v>0.57072916666666662</v>
      </c>
      <c r="B19" s="6">
        <v>10.39453</v>
      </c>
      <c r="C19" s="10">
        <v>754</v>
      </c>
      <c r="D19" s="10" t="s">
        <v>24</v>
      </c>
      <c r="E19" s="10" t="s">
        <v>24</v>
      </c>
      <c r="F19" s="10" t="s">
        <v>24</v>
      </c>
      <c r="G19" s="11"/>
      <c r="H19" s="11"/>
      <c r="I19" s="11"/>
    </row>
    <row r="20" spans="1:9" x14ac:dyDescent="0.2">
      <c r="A20" s="8">
        <v>0.57074074074074077</v>
      </c>
      <c r="B20" s="6">
        <v>10.92188</v>
      </c>
      <c r="C20" s="10">
        <v>753</v>
      </c>
      <c r="D20" s="10" t="s">
        <v>26</v>
      </c>
      <c r="E20" s="9">
        <v>0.55000000000000004</v>
      </c>
      <c r="F20" s="10" t="s">
        <v>17</v>
      </c>
      <c r="G20" s="11"/>
      <c r="H20" s="11"/>
      <c r="I20" s="11"/>
    </row>
    <row r="21" spans="1:9" x14ac:dyDescent="0.2">
      <c r="A21" s="8">
        <v>0.57074074074074077</v>
      </c>
      <c r="B21" s="6">
        <v>11.4375</v>
      </c>
      <c r="C21" s="10">
        <v>753</v>
      </c>
      <c r="D21" s="10" t="s">
        <v>24</v>
      </c>
      <c r="E21" s="10" t="s">
        <v>24</v>
      </c>
      <c r="F21" s="10" t="s">
        <v>24</v>
      </c>
      <c r="G21" s="11"/>
      <c r="H21" s="11"/>
      <c r="I21" s="11"/>
    </row>
    <row r="22" spans="1:9" x14ac:dyDescent="0.2">
      <c r="A22" s="8"/>
      <c r="C22" s="10"/>
      <c r="D22" s="10"/>
      <c r="E22" s="10"/>
      <c r="F22" s="10"/>
      <c r="G22" s="11"/>
      <c r="H22" s="11"/>
      <c r="I22" s="11"/>
    </row>
    <row r="23" spans="1:9" x14ac:dyDescent="0.2">
      <c r="A23" s="8"/>
      <c r="C23" s="10"/>
      <c r="D23" s="10"/>
      <c r="E23" s="10"/>
      <c r="F23" s="10"/>
      <c r="G23" s="11"/>
      <c r="H23" s="11"/>
      <c r="I23" s="11"/>
    </row>
    <row r="24" spans="1:9" x14ac:dyDescent="0.2">
      <c r="A24" s="8"/>
    </row>
    <row r="25" spans="1:9" x14ac:dyDescent="0.2">
      <c r="A25" s="8"/>
      <c r="E25" s="9"/>
    </row>
    <row r="26" spans="1:9" x14ac:dyDescent="0.2">
      <c r="A26" s="8"/>
    </row>
    <row r="27" spans="1:9" x14ac:dyDescent="0.2">
      <c r="A27" s="8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E4521-AFF3-45CE-98CD-537EBBB75637}">
  <dimension ref="A1:I21"/>
  <sheetViews>
    <sheetView workbookViewId="0">
      <selection activeCell="I6" sqref="I6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25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0.57246527777777778</v>
      </c>
      <c r="B2" s="6">
        <v>1.8046880000000001</v>
      </c>
      <c r="C2" s="10">
        <v>761</v>
      </c>
      <c r="D2" s="10" t="s">
        <v>24</v>
      </c>
      <c r="E2" s="10" t="s">
        <v>24</v>
      </c>
      <c r="F2" s="10" t="s">
        <v>24</v>
      </c>
      <c r="G2" s="11"/>
      <c r="H2" s="11">
        <f>AVERAGE(C2:C21)</f>
        <v>758.85</v>
      </c>
      <c r="I2" s="11"/>
    </row>
    <row r="3" spans="1:9" x14ac:dyDescent="0.2">
      <c r="A3" s="8">
        <v>0.57246527777777778</v>
      </c>
      <c r="B3" s="6">
        <v>2.2695310000000002</v>
      </c>
      <c r="C3" s="10">
        <v>761</v>
      </c>
      <c r="D3" s="10" t="s">
        <v>24</v>
      </c>
      <c r="E3" s="10" t="s">
        <v>24</v>
      </c>
      <c r="F3" s="10" t="s">
        <v>24</v>
      </c>
      <c r="G3" s="11"/>
      <c r="H3" s="11">
        <f>91*(1023-H2)/H2</f>
        <v>31.676418264479143</v>
      </c>
      <c r="I3" s="11"/>
    </row>
    <row r="4" spans="1:9" x14ac:dyDescent="0.2">
      <c r="A4" s="8">
        <v>0.57247685185185182</v>
      </c>
      <c r="B4" s="6">
        <v>2.7734380000000001</v>
      </c>
      <c r="C4" s="10">
        <v>760</v>
      </c>
      <c r="D4" s="10" t="s">
        <v>24</v>
      </c>
      <c r="E4" s="10" t="s">
        <v>24</v>
      </c>
      <c r="F4" s="10" t="s">
        <v>24</v>
      </c>
      <c r="G4" s="11"/>
      <c r="H4" s="11"/>
      <c r="I4" s="11"/>
    </row>
    <row r="5" spans="1:9" x14ac:dyDescent="0.2">
      <c r="A5" s="8">
        <v>0.57247685185185182</v>
      </c>
      <c r="B5" s="6">
        <v>3.3007810000000002</v>
      </c>
      <c r="C5" s="10">
        <v>760</v>
      </c>
      <c r="D5" s="10" t="s">
        <v>26</v>
      </c>
      <c r="E5" s="9">
        <v>0.55000000000000004</v>
      </c>
      <c r="F5" s="10" t="s">
        <v>17</v>
      </c>
      <c r="G5" s="11"/>
      <c r="H5" s="11"/>
      <c r="I5" s="11"/>
    </row>
    <row r="6" spans="1:9" x14ac:dyDescent="0.2">
      <c r="A6" s="8">
        <v>0.57248842592592597</v>
      </c>
      <c r="B6" s="6">
        <v>3.8164060000000002</v>
      </c>
      <c r="C6" s="10">
        <v>761</v>
      </c>
      <c r="D6" s="10" t="s">
        <v>24</v>
      </c>
      <c r="E6" s="10" t="s">
        <v>24</v>
      </c>
      <c r="F6" s="10" t="s">
        <v>24</v>
      </c>
      <c r="G6" s="11"/>
      <c r="H6" s="11"/>
      <c r="I6" s="11"/>
    </row>
    <row r="7" spans="1:9" x14ac:dyDescent="0.2">
      <c r="A7" s="8">
        <v>0.57248842592592597</v>
      </c>
      <c r="B7" s="6">
        <v>4.3164059999999997</v>
      </c>
      <c r="C7" s="10">
        <v>759</v>
      </c>
      <c r="D7" s="10" t="s">
        <v>24</v>
      </c>
      <c r="E7" s="10" t="s">
        <v>24</v>
      </c>
      <c r="F7" s="10" t="s">
        <v>24</v>
      </c>
      <c r="G7" s="11"/>
      <c r="H7" s="11"/>
      <c r="I7" s="11"/>
    </row>
    <row r="8" spans="1:9" x14ac:dyDescent="0.2">
      <c r="A8" s="8">
        <v>0.57250000000000001</v>
      </c>
      <c r="B8" s="6">
        <v>4.8164059999999997</v>
      </c>
      <c r="C8" s="10">
        <v>760</v>
      </c>
      <c r="D8" s="10" t="s">
        <v>24</v>
      </c>
      <c r="E8" s="10" t="s">
        <v>24</v>
      </c>
      <c r="F8" s="10" t="s">
        <v>24</v>
      </c>
      <c r="G8" s="11"/>
      <c r="H8" s="11"/>
      <c r="I8" s="11"/>
    </row>
    <row r="9" spans="1:9" x14ac:dyDescent="0.2">
      <c r="A9" s="8">
        <v>0.57250000000000001</v>
      </c>
      <c r="B9" s="6">
        <v>5.3164059999999997</v>
      </c>
      <c r="C9" s="10">
        <v>762</v>
      </c>
      <c r="D9" s="10" t="s">
        <v>24</v>
      </c>
      <c r="E9" s="10" t="s">
        <v>24</v>
      </c>
      <c r="F9" s="10" t="s">
        <v>24</v>
      </c>
      <c r="G9" s="11"/>
      <c r="H9" s="11"/>
      <c r="I9" s="11"/>
    </row>
    <row r="10" spans="1:9" x14ac:dyDescent="0.2">
      <c r="A10" s="8">
        <v>0.57251157407407405</v>
      </c>
      <c r="B10" s="6">
        <v>5.84375</v>
      </c>
      <c r="C10" s="10">
        <v>758</v>
      </c>
      <c r="D10" s="10" t="s">
        <v>26</v>
      </c>
      <c r="E10" s="9">
        <v>0.55000000000000004</v>
      </c>
      <c r="F10" s="10" t="s">
        <v>17</v>
      </c>
      <c r="G10" s="11"/>
      <c r="H10" s="11"/>
      <c r="I10" s="11"/>
    </row>
    <row r="11" spans="1:9" x14ac:dyDescent="0.2">
      <c r="A11" s="8">
        <v>0.57251157407407405</v>
      </c>
      <c r="B11" s="6">
        <v>6.359375</v>
      </c>
      <c r="C11" s="10">
        <v>760</v>
      </c>
      <c r="D11" s="10" t="s">
        <v>24</v>
      </c>
      <c r="E11" s="10" t="s">
        <v>24</v>
      </c>
      <c r="F11" s="10" t="s">
        <v>24</v>
      </c>
      <c r="G11" s="11"/>
      <c r="H11" s="11"/>
      <c r="I11" s="11"/>
    </row>
    <row r="12" spans="1:9" x14ac:dyDescent="0.2">
      <c r="A12" s="8">
        <v>0.5725231481481482</v>
      </c>
      <c r="B12" s="6">
        <v>6.859375</v>
      </c>
      <c r="C12" s="10">
        <v>759</v>
      </c>
      <c r="D12" s="10" t="s">
        <v>24</v>
      </c>
      <c r="E12" s="10" t="s">
        <v>24</v>
      </c>
      <c r="F12" s="10" t="s">
        <v>24</v>
      </c>
      <c r="G12" s="11"/>
      <c r="H12" s="11"/>
      <c r="I12" s="11"/>
    </row>
    <row r="13" spans="1:9" x14ac:dyDescent="0.2">
      <c r="A13" s="8">
        <v>0.5725231481481482</v>
      </c>
      <c r="B13" s="6">
        <v>7.359375</v>
      </c>
      <c r="C13" s="10">
        <v>758</v>
      </c>
      <c r="D13" s="10" t="s">
        <v>24</v>
      </c>
      <c r="E13" s="10" t="s">
        <v>24</v>
      </c>
      <c r="F13" s="10" t="s">
        <v>24</v>
      </c>
      <c r="G13" s="11"/>
      <c r="H13" s="11"/>
      <c r="I13" s="11"/>
    </row>
    <row r="14" spans="1:9" x14ac:dyDescent="0.2">
      <c r="A14" s="8">
        <v>0.57253472222222224</v>
      </c>
      <c r="B14" s="6">
        <v>7.859375</v>
      </c>
      <c r="C14" s="10">
        <v>760</v>
      </c>
      <c r="D14" s="10" t="s">
        <v>24</v>
      </c>
      <c r="E14" s="10" t="s">
        <v>24</v>
      </c>
      <c r="F14" s="10" t="s">
        <v>24</v>
      </c>
      <c r="G14" s="11"/>
      <c r="H14" s="11"/>
      <c r="I14" s="11"/>
    </row>
    <row r="15" spans="1:9" x14ac:dyDescent="0.2">
      <c r="A15" s="8">
        <v>0.57253472222222224</v>
      </c>
      <c r="B15" s="6">
        <v>8.3828130000000005</v>
      </c>
      <c r="C15" s="10">
        <v>757</v>
      </c>
      <c r="D15" s="10" t="s">
        <v>26</v>
      </c>
      <c r="E15" s="9">
        <v>0.55000000000000004</v>
      </c>
      <c r="F15" s="10" t="s">
        <v>17</v>
      </c>
      <c r="G15" s="11"/>
      <c r="H15" s="11"/>
      <c r="I15" s="11"/>
    </row>
    <row r="16" spans="1:9" x14ac:dyDescent="0.2">
      <c r="A16" s="8">
        <v>0.57254629629629628</v>
      </c>
      <c r="B16" s="6">
        <v>8.9023439999999994</v>
      </c>
      <c r="C16" s="10">
        <v>758</v>
      </c>
      <c r="D16" s="10" t="s">
        <v>24</v>
      </c>
      <c r="E16" s="10" t="s">
        <v>24</v>
      </c>
      <c r="F16" s="10" t="s">
        <v>24</v>
      </c>
      <c r="G16" s="11"/>
      <c r="H16" s="11"/>
      <c r="I16" s="11"/>
    </row>
    <row r="17" spans="1:9" x14ac:dyDescent="0.2">
      <c r="A17" s="8">
        <v>0.57254629629629628</v>
      </c>
      <c r="B17" s="6">
        <v>9.4023439999999994</v>
      </c>
      <c r="C17" s="10">
        <v>759</v>
      </c>
      <c r="D17" s="10" t="s">
        <v>24</v>
      </c>
      <c r="E17" s="10" t="s">
        <v>24</v>
      </c>
      <c r="F17" s="10" t="s">
        <v>24</v>
      </c>
      <c r="G17" s="11"/>
      <c r="H17" s="11"/>
      <c r="I17" s="11"/>
    </row>
    <row r="18" spans="1:9" x14ac:dyDescent="0.2">
      <c r="A18" s="8">
        <v>0.57255787037037043</v>
      </c>
      <c r="B18" s="6">
        <v>9.9023439999999994</v>
      </c>
      <c r="C18" s="10">
        <v>757</v>
      </c>
      <c r="D18" s="10" t="s">
        <v>24</v>
      </c>
      <c r="E18" s="10" t="s">
        <v>24</v>
      </c>
      <c r="F18" s="10" t="s">
        <v>24</v>
      </c>
      <c r="G18" s="11"/>
      <c r="H18" s="11"/>
      <c r="I18" s="11"/>
    </row>
    <row r="19" spans="1:9" x14ac:dyDescent="0.2">
      <c r="A19" s="8">
        <v>0.57255787037037043</v>
      </c>
      <c r="B19" s="6">
        <v>10.402340000000001</v>
      </c>
      <c r="C19" s="10">
        <v>757</v>
      </c>
      <c r="D19" s="10" t="s">
        <v>24</v>
      </c>
      <c r="E19" s="10" t="s">
        <v>24</v>
      </c>
      <c r="F19" s="10" t="s">
        <v>24</v>
      </c>
      <c r="G19" s="11"/>
      <c r="H19" s="11"/>
      <c r="I19" s="11"/>
    </row>
    <row r="20" spans="1:9" x14ac:dyDescent="0.2">
      <c r="A20" s="8">
        <v>0.57256944444444446</v>
      </c>
      <c r="B20" s="6">
        <v>10.92578</v>
      </c>
      <c r="C20" s="10">
        <v>755</v>
      </c>
      <c r="D20" s="10" t="s">
        <v>26</v>
      </c>
      <c r="E20" s="9">
        <v>0.55000000000000004</v>
      </c>
      <c r="F20" s="10" t="s">
        <v>17</v>
      </c>
      <c r="G20" s="11"/>
      <c r="H20" s="11"/>
      <c r="I20" s="11"/>
    </row>
    <row r="21" spans="1:9" x14ac:dyDescent="0.2">
      <c r="A21" s="8">
        <v>0.57256944444444446</v>
      </c>
      <c r="B21" s="6">
        <v>11.441409999999999</v>
      </c>
      <c r="C21" s="10">
        <v>755</v>
      </c>
      <c r="D21" s="10" t="s">
        <v>24</v>
      </c>
      <c r="E21" s="10" t="s">
        <v>24</v>
      </c>
      <c r="F21" s="10" t="s">
        <v>24</v>
      </c>
      <c r="G21" s="11"/>
      <c r="H21" s="11"/>
      <c r="I21" s="11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9600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5</v>
      </c>
      <c r="C6" s="2" t="b">
        <v>0</v>
      </c>
      <c r="E6" s="15"/>
      <c r="F6" s="16"/>
    </row>
    <row r="7" spans="2:13" ht="12.75" customHeight="1" x14ac:dyDescent="0.2">
      <c r="B7" s="1" t="s">
        <v>6</v>
      </c>
      <c r="C7" s="2" t="b">
        <v>0</v>
      </c>
      <c r="E7" s="15"/>
      <c r="F7" s="16"/>
      <c r="M7" s="1"/>
    </row>
    <row r="8" spans="2:13" ht="12.75" customHeight="1" x14ac:dyDescent="0.2">
      <c r="B8" s="1" t="s">
        <v>7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39</v>
      </c>
      <c r="E9" s="15"/>
      <c r="F9" s="16"/>
      <c r="M9" s="1"/>
    </row>
    <row r="10" spans="2:13" ht="13.5" customHeight="1" x14ac:dyDescent="0.2">
      <c r="B10" s="1" t="s">
        <v>9</v>
      </c>
      <c r="C10" s="2" t="b">
        <v>1</v>
      </c>
      <c r="E10" s="15"/>
      <c r="F10" s="16"/>
    </row>
    <row r="11" spans="2:13" ht="13.5" customHeight="1" x14ac:dyDescent="0.2">
      <c r="B11" s="1" t="s">
        <v>8</v>
      </c>
      <c r="C11" s="2" t="b">
        <v>1</v>
      </c>
      <c r="E11" s="15"/>
      <c r="F11" s="16"/>
    </row>
    <row r="12" spans="2:13" ht="12.75" customHeight="1" x14ac:dyDescent="0.2">
      <c r="B12" s="1" t="s">
        <v>10</v>
      </c>
      <c r="C12" s="2" t="b">
        <v>1</v>
      </c>
      <c r="E12" s="15"/>
      <c r="F12" s="16"/>
    </row>
    <row r="13" spans="2:13" ht="12.75" customHeight="1" x14ac:dyDescent="0.2">
      <c r="B13" s="1" t="s">
        <v>11</v>
      </c>
      <c r="C13" s="2" t="b">
        <v>1</v>
      </c>
      <c r="E13" s="15"/>
      <c r="F13" s="16"/>
    </row>
    <row r="14" spans="2:13" ht="13.5" customHeight="1" x14ac:dyDescent="0.2">
      <c r="B14" s="1" t="s">
        <v>12</v>
      </c>
      <c r="C14" s="2">
        <v>689</v>
      </c>
      <c r="E14" s="15"/>
      <c r="F14" s="16"/>
    </row>
    <row r="15" spans="2:13" x14ac:dyDescent="0.2">
      <c r="B15" s="1" t="s">
        <v>13</v>
      </c>
      <c r="C15" s="3">
        <v>1024</v>
      </c>
      <c r="E15" s="15"/>
      <c r="F15" s="16"/>
    </row>
    <row r="16" spans="2:13" x14ac:dyDescent="0.2">
      <c r="B16" s="1" t="s">
        <v>14</v>
      </c>
      <c r="C16" s="3">
        <v>1024</v>
      </c>
      <c r="E16" s="15"/>
      <c r="F16" s="16"/>
    </row>
    <row r="17" spans="2:6" x14ac:dyDescent="0.2">
      <c r="B17" s="1" t="s">
        <v>15</v>
      </c>
      <c r="C17" s="3">
        <v>1024</v>
      </c>
      <c r="E17" s="15"/>
      <c r="F17" s="16"/>
    </row>
    <row r="18" spans="2:6" ht="13.5" thickBot="1" x14ac:dyDescent="0.25">
      <c r="B18" s="1" t="s">
        <v>16</v>
      </c>
      <c r="C18" s="3">
        <v>64</v>
      </c>
      <c r="E18" s="17"/>
      <c r="F18" s="18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溫度</vt:lpstr>
      <vt:lpstr>80度空白</vt:lpstr>
      <vt:lpstr>60度空白</vt:lpstr>
      <vt:lpstr>40度空白</vt:lpstr>
      <vt:lpstr>紙杯60度</vt:lpstr>
      <vt:lpstr>紙杯40度</vt:lpstr>
      <vt:lpstr>保麗龍球(大)80</vt:lpstr>
      <vt:lpstr>保麗龍球(大)60 </vt:lpstr>
      <vt:lpstr>保麗龍球(大)40</vt:lpstr>
      <vt:lpstr>保麗龍球(小)80</vt:lpstr>
      <vt:lpstr>保麗龍球(小)60</vt:lpstr>
      <vt:lpstr>保麗龍球(小)40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2026-09-21T06:43:20Z</dcterms:modified>
</cp:coreProperties>
</file>