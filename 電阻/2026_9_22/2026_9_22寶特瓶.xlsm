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2026_9_22\"/>
    </mc:Choice>
  </mc:AlternateContent>
  <xr:revisionPtr revIDLastSave="0" documentId="13_ncr:1_{DB7516E9-8B86-4F9D-9F3A-126A10F20F95}" xr6:coauthVersionLast="47" xr6:coauthVersionMax="47" xr10:uidLastSave="{00000000-0000-0000-0000-000000000000}"/>
  <bookViews>
    <workbookView xWindow="-120" yWindow="-120" windowWidth="20730" windowHeight="11160" tabRatio="795" activeTab="2" xr2:uid="{00000000-000D-0000-FFFF-FFFF00000000}"/>
  </bookViews>
  <sheets>
    <sheet name="溫度" sheetId="36" r:id="rId1"/>
    <sheet name="標準" sheetId="56" r:id="rId2"/>
    <sheet name="小30" sheetId="43" r:id="rId3"/>
    <sheet name="小40" sheetId="45" r:id="rId4"/>
    <sheet name="小50" sheetId="46" r:id="rId5"/>
    <sheet name="小60" sheetId="47" r:id="rId6"/>
    <sheet name="小70" sheetId="48" r:id="rId7"/>
    <sheet name="小80" sheetId="49" r:id="rId8"/>
    <sheet name="A2" sheetId="50" r:id="rId9"/>
    <sheet name="B2" sheetId="51" r:id="rId10"/>
    <sheet name="A3" sheetId="52" r:id="rId11"/>
    <sheet name="B3" sheetId="53" r:id="rId12"/>
    <sheet name="A4" sheetId="54" r:id="rId13"/>
    <sheet name="B4" sheetId="55" r:id="rId14"/>
    <sheet name="PLXDAQ_new_Settings" sheetId="6" state="hidden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" i="56" l="1"/>
  <c r="H3" i="56" s="1"/>
  <c r="H2" i="52"/>
  <c r="H3" i="52" s="1"/>
  <c r="H2" i="55"/>
  <c r="H3" i="55" s="1"/>
  <c r="H2" i="54"/>
  <c r="H3" i="54" s="1"/>
  <c r="H2" i="53"/>
  <c r="H3" i="53" s="1"/>
  <c r="H2" i="51"/>
  <c r="H3" i="51" s="1"/>
  <c r="H2" i="50"/>
  <c r="H3" i="50" s="1"/>
  <c r="H2" i="49"/>
  <c r="H3" i="49" s="1"/>
  <c r="H2" i="48"/>
  <c r="H3" i="48" s="1"/>
  <c r="H2" i="47"/>
  <c r="H3" i="47" s="1"/>
  <c r="H2" i="46"/>
  <c r="H3" i="46" s="1"/>
  <c r="H2" i="45"/>
  <c r="H3" i="45" s="1"/>
  <c r="H2" i="43"/>
  <c r="H3" i="43" s="1"/>
</calcChain>
</file>

<file path=xl/sharedStrings.xml><?xml version="1.0" encoding="utf-8"?>
<sst xmlns="http://schemas.openxmlformats.org/spreadsheetml/2006/main" count="536" uniqueCount="39">
  <si>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</si>
  <si>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</si>
  <si>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</si>
  <si>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</si>
  <si>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</si>
  <si>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</si>
  <si>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</si>
  <si>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</si>
  <si>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</si>
  <si>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</si>
  <si>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</si>
  <si>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</si>
  <si>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</si>
  <si>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</si>
  <si>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</si>
  <si>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</si>
  <si>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</si>
  <si>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</si>
  <si>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Timer</t>
  </si>
  <si>
    <t>A0</t>
  </si>
  <si>
    <t>T</t>
  </si>
  <si>
    <t>H</t>
  </si>
  <si>
    <t>Error Code</t>
  </si>
  <si>
    <t>None</t>
  </si>
  <si>
    <t>28.00 C</t>
  </si>
  <si>
    <t>NULL</t>
  </si>
  <si>
    <t>Error</t>
  </si>
  <si>
    <t>Time</t>
    <phoneticPr fontId="4" type="noConversion"/>
  </si>
  <si>
    <t>Timer</t>
    <phoneticPr fontId="4" type="noConversion"/>
  </si>
  <si>
    <t>A0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</si>
  <si>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</si>
  <si>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</si>
  <si>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</si>
  <si>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  <phoneticPr fontId="4" type="noConversion"/>
  </si>
  <si>
    <t>NULL</t>
    <phoneticPr fontId="4" type="noConversion"/>
  </si>
  <si>
    <t>Error</t>
    <phoneticPr fontId="4" type="noConversion"/>
  </si>
  <si>
    <t>27.00 C</t>
  </si>
  <si>
    <t>27.00 C</t>
    <phoneticPr fontId="4" type="noConversion"/>
  </si>
  <si>
    <t>溫度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</si>
</sst>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F30"/>
  <sheetViews>
    <sheetView workbookViewId="0">
      <selection activeCell="A19" sqref="A19:XFD19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6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6" x14ac:dyDescent="0.2">
      <c r="A2" s="8">
        <v>0.68516203703703704</v>
      </c>
      <c r="B2" s="6">
        <v>1.8046880000000001</v>
      </c>
      <c r="C2" s="10">
        <v>2</v>
      </c>
      <c r="D2" s="10" t="s">
        <v>23</v>
      </c>
      <c r="E2" s="10" t="s">
        <v>23</v>
      </c>
      <c r="F2" s="10" t="s">
        <v>23</v>
      </c>
    </row>
    <row r="3" spans="1:6" x14ac:dyDescent="0.2">
      <c r="A3" s="8">
        <v>0.68516203703703704</v>
      </c>
      <c r="B3" s="6">
        <v>2.2695310000000002</v>
      </c>
      <c r="C3" s="10">
        <v>0</v>
      </c>
      <c r="D3" s="10" t="s">
        <v>23</v>
      </c>
      <c r="E3" s="10" t="s">
        <v>23</v>
      </c>
      <c r="F3" s="10" t="s">
        <v>23</v>
      </c>
    </row>
    <row r="4" spans="1:6" x14ac:dyDescent="0.2">
      <c r="A4" s="8">
        <v>0.68517361111111108</v>
      </c>
      <c r="B4" s="6">
        <v>2.7695310000000002</v>
      </c>
      <c r="C4" s="10">
        <v>3</v>
      </c>
      <c r="D4" s="10" t="s">
        <v>23</v>
      </c>
      <c r="E4" s="10" t="s">
        <v>23</v>
      </c>
      <c r="F4" s="10" t="s">
        <v>23</v>
      </c>
    </row>
    <row r="5" spans="1:6" x14ac:dyDescent="0.2">
      <c r="A5" s="8">
        <v>0.68518518518518523</v>
      </c>
      <c r="B5" s="6">
        <v>3.7929689999999998</v>
      </c>
      <c r="C5" s="10">
        <v>3</v>
      </c>
      <c r="D5" s="10" t="s">
        <v>26</v>
      </c>
      <c r="E5" s="10" t="s">
        <v>26</v>
      </c>
      <c r="F5" s="10">
        <v>-237</v>
      </c>
    </row>
    <row r="6" spans="1:6" x14ac:dyDescent="0.2">
      <c r="A6" s="8">
        <v>0.68518518518518523</v>
      </c>
      <c r="B6" s="6">
        <v>4.3085940000000003</v>
      </c>
      <c r="C6" s="10">
        <v>0</v>
      </c>
      <c r="D6" s="10" t="s">
        <v>26</v>
      </c>
      <c r="E6" s="10" t="s">
        <v>26</v>
      </c>
      <c r="F6" s="10">
        <v>4112</v>
      </c>
    </row>
    <row r="7" spans="1:6" x14ac:dyDescent="0.2">
      <c r="A7" s="8">
        <v>0.68519675925925927</v>
      </c>
      <c r="B7" s="6">
        <v>4.859375</v>
      </c>
      <c r="C7" s="10">
        <v>0</v>
      </c>
      <c r="D7" s="10" t="s">
        <v>36</v>
      </c>
      <c r="E7" s="9">
        <v>0.49</v>
      </c>
      <c r="F7" s="10" t="s">
        <v>25</v>
      </c>
    </row>
    <row r="8" spans="1:6" x14ac:dyDescent="0.2">
      <c r="A8" s="8">
        <v>0.68519675925925927</v>
      </c>
      <c r="B8" s="6">
        <v>5.3632809999999997</v>
      </c>
      <c r="C8" s="10">
        <v>0</v>
      </c>
      <c r="D8" s="10" t="s">
        <v>23</v>
      </c>
      <c r="E8" s="10" t="s">
        <v>23</v>
      </c>
      <c r="F8" s="10" t="s">
        <v>23</v>
      </c>
    </row>
    <row r="9" spans="1:6" x14ac:dyDescent="0.2">
      <c r="A9" s="8">
        <v>0.68520833333333331</v>
      </c>
      <c r="B9" s="6">
        <v>5.875</v>
      </c>
      <c r="C9" s="10">
        <v>0</v>
      </c>
      <c r="D9" s="10" t="s">
        <v>23</v>
      </c>
      <c r="E9" s="10" t="s">
        <v>23</v>
      </c>
      <c r="F9" s="10" t="s">
        <v>23</v>
      </c>
    </row>
    <row r="10" spans="1:6" x14ac:dyDescent="0.2">
      <c r="A10" s="8">
        <v>0.68520833333333331</v>
      </c>
      <c r="B10" s="6">
        <v>6.375</v>
      </c>
      <c r="C10" s="10">
        <v>9</v>
      </c>
      <c r="D10" s="10" t="s">
        <v>23</v>
      </c>
      <c r="E10" s="10" t="s">
        <v>23</v>
      </c>
      <c r="F10" s="10" t="s">
        <v>23</v>
      </c>
    </row>
    <row r="11" spans="1:6" x14ac:dyDescent="0.2">
      <c r="A11" s="8">
        <v>0.68521990740740746</v>
      </c>
      <c r="B11" s="6">
        <v>6.8789059999999997</v>
      </c>
      <c r="C11" s="10">
        <v>234</v>
      </c>
      <c r="D11" s="10" t="s">
        <v>23</v>
      </c>
      <c r="E11" s="10" t="s">
        <v>23</v>
      </c>
      <c r="F11" s="10" t="s">
        <v>23</v>
      </c>
    </row>
    <row r="12" spans="1:6" x14ac:dyDescent="0.2">
      <c r="A12" s="8">
        <v>0.6852314814814815</v>
      </c>
      <c r="B12" s="6">
        <v>7.8984379999999996</v>
      </c>
      <c r="C12" s="10">
        <v>271</v>
      </c>
      <c r="D12" s="10" t="s">
        <v>26</v>
      </c>
      <c r="E12" s="10" t="s">
        <v>26</v>
      </c>
      <c r="F12" s="10">
        <v>-237</v>
      </c>
    </row>
    <row r="13" spans="1:6" x14ac:dyDescent="0.2">
      <c r="A13" s="8">
        <v>0.68524305555555554</v>
      </c>
      <c r="B13" s="6">
        <v>8.4140630000000005</v>
      </c>
      <c r="C13" s="10">
        <v>329</v>
      </c>
      <c r="D13" s="10" t="s">
        <v>26</v>
      </c>
      <c r="E13" s="10" t="s">
        <v>26</v>
      </c>
      <c r="F13" s="10">
        <v>3088</v>
      </c>
    </row>
    <row r="14" spans="1:6" x14ac:dyDescent="0.2">
      <c r="A14" s="8">
        <v>0.68524305555555554</v>
      </c>
      <c r="B14" s="6">
        <v>8.9609380000000005</v>
      </c>
      <c r="C14" s="10">
        <v>359</v>
      </c>
      <c r="D14" s="10" t="s">
        <v>24</v>
      </c>
      <c r="E14" s="9">
        <v>0.49</v>
      </c>
      <c r="F14" s="10" t="s">
        <v>25</v>
      </c>
    </row>
    <row r="15" spans="1:6" x14ac:dyDescent="0.2">
      <c r="A15" s="8">
        <v>0.68525462962962957</v>
      </c>
      <c r="B15" s="6">
        <v>9.4765630000000005</v>
      </c>
      <c r="C15" s="10">
        <v>367</v>
      </c>
      <c r="D15" s="10" t="s">
        <v>23</v>
      </c>
      <c r="E15" s="10" t="s">
        <v>23</v>
      </c>
      <c r="F15" s="10" t="s">
        <v>23</v>
      </c>
    </row>
    <row r="16" spans="1:6" x14ac:dyDescent="0.2">
      <c r="A16" s="8">
        <v>0.68525462962962957</v>
      </c>
      <c r="B16" s="6">
        <v>9.9765630000000005</v>
      </c>
      <c r="C16" s="10">
        <v>376</v>
      </c>
      <c r="D16" s="10" t="s">
        <v>23</v>
      </c>
      <c r="E16" s="10" t="s">
        <v>23</v>
      </c>
      <c r="F16" s="10" t="s">
        <v>23</v>
      </c>
    </row>
    <row r="17" spans="1:6" x14ac:dyDescent="0.2">
      <c r="A17" s="8">
        <v>0.68526620370370372</v>
      </c>
      <c r="B17" s="6">
        <v>10.472659999999999</v>
      </c>
      <c r="C17" s="10">
        <v>383</v>
      </c>
      <c r="D17" s="10" t="s">
        <v>23</v>
      </c>
      <c r="E17" s="10" t="s">
        <v>23</v>
      </c>
      <c r="F17" s="10" t="s">
        <v>23</v>
      </c>
    </row>
    <row r="18" spans="1:6" x14ac:dyDescent="0.2">
      <c r="A18" s="8">
        <v>0.68526620370370372</v>
      </c>
      <c r="B18" s="6">
        <v>10.972659999999999</v>
      </c>
      <c r="C18" s="10">
        <v>0</v>
      </c>
      <c r="D18" s="10" t="s">
        <v>23</v>
      </c>
      <c r="E18" s="10" t="s">
        <v>23</v>
      </c>
      <c r="F18" s="10" t="s">
        <v>23</v>
      </c>
    </row>
    <row r="19" spans="1:6" x14ac:dyDescent="0.2">
      <c r="A19" s="8">
        <v>0.68527777777777776</v>
      </c>
      <c r="B19" s="6">
        <v>11.492190000000001</v>
      </c>
      <c r="C19" s="10">
        <v>0</v>
      </c>
      <c r="D19" s="10" t="s">
        <v>24</v>
      </c>
      <c r="E19" s="9">
        <v>0.5</v>
      </c>
      <c r="F19" s="10" t="s">
        <v>25</v>
      </c>
    </row>
    <row r="20" spans="1:6" x14ac:dyDescent="0.2">
      <c r="A20" s="8">
        <v>0.68527777777777776</v>
      </c>
      <c r="B20" s="6">
        <v>12.003909999999999</v>
      </c>
      <c r="C20" s="10">
        <v>0</v>
      </c>
      <c r="D20" s="10" t="s">
        <v>23</v>
      </c>
      <c r="E20" s="10" t="s">
        <v>23</v>
      </c>
      <c r="F20" s="10" t="s">
        <v>23</v>
      </c>
    </row>
    <row r="21" spans="1:6" x14ac:dyDescent="0.2">
      <c r="A21" s="8">
        <v>0.6852893518518518</v>
      </c>
      <c r="B21" s="6">
        <v>12.503909999999999</v>
      </c>
      <c r="C21" s="10">
        <v>0</v>
      </c>
      <c r="D21" s="10" t="s">
        <v>23</v>
      </c>
      <c r="E21" s="10" t="s">
        <v>23</v>
      </c>
      <c r="F21" s="10" t="s">
        <v>23</v>
      </c>
    </row>
    <row r="22" spans="1:6" x14ac:dyDescent="0.2">
      <c r="A22" s="10"/>
      <c r="C22" s="10"/>
      <c r="D22" s="10"/>
      <c r="E22" s="10"/>
      <c r="F22" s="10"/>
    </row>
    <row r="23" spans="1:6" x14ac:dyDescent="0.2">
      <c r="A23" s="10"/>
      <c r="C23" s="10"/>
      <c r="D23" s="10"/>
      <c r="E23" s="10"/>
      <c r="F23" s="10"/>
    </row>
    <row r="24" spans="1:6" x14ac:dyDescent="0.2">
      <c r="A24" s="10"/>
      <c r="C24" s="10"/>
      <c r="D24" s="10"/>
      <c r="E24" s="10"/>
      <c r="F24" s="10"/>
    </row>
    <row r="25" spans="1:6" x14ac:dyDescent="0.2">
      <c r="A25" s="10"/>
      <c r="C25" s="10"/>
      <c r="D25" s="10"/>
      <c r="E25" s="10"/>
      <c r="F25" s="10"/>
    </row>
    <row r="26" spans="1:6" x14ac:dyDescent="0.2">
      <c r="A26" s="10"/>
      <c r="C26" s="10"/>
      <c r="D26" s="10"/>
      <c r="E26" s="10"/>
      <c r="F26" s="10"/>
    </row>
    <row r="27" spans="1:6" x14ac:dyDescent="0.2">
      <c r="A27" s="10"/>
      <c r="C27" s="10"/>
      <c r="D27" s="10"/>
      <c r="E27" s="10"/>
      <c r="F27" s="10"/>
    </row>
    <row r="28" spans="1:6" x14ac:dyDescent="0.2">
      <c r="A28" s="10"/>
      <c r="C28" s="10"/>
      <c r="D28" s="10"/>
      <c r="E28" s="10"/>
      <c r="F28" s="10"/>
    </row>
    <row r="29" spans="1:6" x14ac:dyDescent="0.2">
      <c r="A29" s="10"/>
      <c r="C29" s="10"/>
      <c r="D29" s="10"/>
      <c r="E29" s="10"/>
      <c r="F29" s="10"/>
    </row>
    <row r="30" spans="1:6" x14ac:dyDescent="0.2">
      <c r="A30" s="10"/>
      <c r="C30" s="10"/>
      <c r="D30" s="10"/>
      <c r="E30" s="10"/>
      <c r="F30" s="10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14053-14CC-4D17-BFF1-8AAA60ECD26C}">
  <dimension ref="A1:H21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0.68557870370370366</v>
      </c>
      <c r="B2" s="6">
        <v>1.796875</v>
      </c>
      <c r="C2" s="10">
        <v>781</v>
      </c>
      <c r="D2" s="10" t="s">
        <v>23</v>
      </c>
      <c r="E2" s="10" t="s">
        <v>23</v>
      </c>
      <c r="F2" s="10" t="s">
        <v>23</v>
      </c>
      <c r="G2" s="11"/>
      <c r="H2">
        <f>AVERAGE(C2:C21)</f>
        <v>779.6</v>
      </c>
    </row>
    <row r="3" spans="1:8" x14ac:dyDescent="0.2">
      <c r="A3" s="8">
        <v>0.68559027777777781</v>
      </c>
      <c r="B3" s="6">
        <v>2.2695310000000002</v>
      </c>
      <c r="C3" s="10">
        <v>781</v>
      </c>
      <c r="D3" s="10" t="s">
        <v>23</v>
      </c>
      <c r="E3" s="10" t="s">
        <v>23</v>
      </c>
      <c r="F3" s="10" t="s">
        <v>23</v>
      </c>
      <c r="G3" s="11"/>
      <c r="H3">
        <f>91*(1023-H2)/H2</f>
        <v>28.411236531554639</v>
      </c>
    </row>
    <row r="4" spans="1:8" x14ac:dyDescent="0.2">
      <c r="A4" s="8">
        <v>0.68559027777777781</v>
      </c>
      <c r="B4" s="6">
        <v>2.7695310000000002</v>
      </c>
      <c r="C4" s="10">
        <v>780</v>
      </c>
      <c r="D4" s="10" t="s">
        <v>23</v>
      </c>
      <c r="E4" s="10" t="s">
        <v>23</v>
      </c>
      <c r="F4" s="10" t="s">
        <v>23</v>
      </c>
      <c r="G4" s="11"/>
      <c r="H4" s="11"/>
    </row>
    <row r="5" spans="1:8" x14ac:dyDescent="0.2">
      <c r="A5" s="8">
        <v>0.68560185185185185</v>
      </c>
      <c r="B5" s="6">
        <v>3.2929689999999998</v>
      </c>
      <c r="C5" s="10">
        <v>780</v>
      </c>
      <c r="D5" s="10" t="s">
        <v>36</v>
      </c>
      <c r="E5" s="9">
        <v>0.49</v>
      </c>
      <c r="F5" s="10" t="s">
        <v>25</v>
      </c>
      <c r="G5" s="11"/>
      <c r="H5" s="11"/>
    </row>
    <row r="6" spans="1:8" x14ac:dyDescent="0.2">
      <c r="A6" s="8">
        <v>0.68560185185185185</v>
      </c>
      <c r="B6" s="6">
        <v>3.8085939999999998</v>
      </c>
      <c r="C6" s="10">
        <v>780</v>
      </c>
      <c r="D6" s="10" t="s">
        <v>23</v>
      </c>
      <c r="E6" s="10" t="s">
        <v>23</v>
      </c>
      <c r="F6" s="10" t="s">
        <v>23</v>
      </c>
      <c r="G6" s="11"/>
      <c r="H6" s="11"/>
    </row>
    <row r="7" spans="1:8" x14ac:dyDescent="0.2">
      <c r="A7" s="8">
        <v>0.68561342592592589</v>
      </c>
      <c r="B7" s="6">
        <v>4.3085940000000003</v>
      </c>
      <c r="C7" s="10">
        <v>779</v>
      </c>
      <c r="D7" s="10" t="s">
        <v>23</v>
      </c>
      <c r="E7" s="10" t="s">
        <v>23</v>
      </c>
      <c r="F7" s="10" t="s">
        <v>23</v>
      </c>
      <c r="G7" s="11"/>
      <c r="H7" s="11"/>
    </row>
    <row r="8" spans="1:8" x14ac:dyDescent="0.2">
      <c r="A8" s="8">
        <v>0.68561342592592589</v>
      </c>
      <c r="B8" s="6">
        <v>4.8085940000000003</v>
      </c>
      <c r="C8" s="10">
        <v>780</v>
      </c>
      <c r="D8" s="10" t="s">
        <v>23</v>
      </c>
      <c r="E8" s="10" t="s">
        <v>23</v>
      </c>
      <c r="F8" s="10" t="s">
        <v>23</v>
      </c>
      <c r="G8" s="11"/>
      <c r="H8" s="11"/>
    </row>
    <row r="9" spans="1:8" x14ac:dyDescent="0.2">
      <c r="A9" s="8">
        <v>0.68562500000000004</v>
      </c>
      <c r="B9" s="6">
        <v>5.3085940000000003</v>
      </c>
      <c r="C9" s="10">
        <v>779</v>
      </c>
      <c r="D9" s="10" t="s">
        <v>23</v>
      </c>
      <c r="E9" s="10" t="s">
        <v>23</v>
      </c>
      <c r="F9" s="10" t="s">
        <v>23</v>
      </c>
      <c r="G9" s="11"/>
      <c r="H9" s="11"/>
    </row>
    <row r="10" spans="1:8" x14ac:dyDescent="0.2">
      <c r="A10" s="8">
        <v>0.68562500000000004</v>
      </c>
      <c r="B10" s="6">
        <v>5.8242190000000003</v>
      </c>
      <c r="C10" s="10">
        <v>780</v>
      </c>
      <c r="D10" s="10" t="s">
        <v>36</v>
      </c>
      <c r="E10" s="9">
        <v>0.49</v>
      </c>
      <c r="F10" s="10" t="s">
        <v>25</v>
      </c>
      <c r="G10" s="11"/>
      <c r="H10" s="11"/>
    </row>
    <row r="11" spans="1:8" x14ac:dyDescent="0.2">
      <c r="A11" s="8">
        <v>0.68563657407407408</v>
      </c>
      <c r="B11" s="6">
        <v>6.3398440000000003</v>
      </c>
      <c r="C11" s="10">
        <v>779</v>
      </c>
      <c r="D11" s="10" t="s">
        <v>23</v>
      </c>
      <c r="E11" s="10" t="s">
        <v>23</v>
      </c>
      <c r="F11" s="10" t="s">
        <v>23</v>
      </c>
      <c r="G11" s="11"/>
      <c r="H11" s="11"/>
    </row>
    <row r="12" spans="1:8" x14ac:dyDescent="0.2">
      <c r="A12" s="8">
        <v>0.68563657407407408</v>
      </c>
      <c r="B12" s="6">
        <v>6.8398440000000003</v>
      </c>
      <c r="C12" s="10">
        <v>779</v>
      </c>
      <c r="D12" s="10" t="s">
        <v>23</v>
      </c>
      <c r="E12" s="10" t="s">
        <v>23</v>
      </c>
      <c r="F12" s="10" t="s">
        <v>23</v>
      </c>
      <c r="G12" s="11"/>
      <c r="H12" s="11"/>
    </row>
    <row r="13" spans="1:8" x14ac:dyDescent="0.2">
      <c r="A13" s="8">
        <v>0.68564814814814812</v>
      </c>
      <c r="B13" s="6">
        <v>7.3554690000000003</v>
      </c>
      <c r="C13" s="10">
        <v>778</v>
      </c>
      <c r="D13" s="10" t="s">
        <v>23</v>
      </c>
      <c r="E13" s="10" t="s">
        <v>23</v>
      </c>
      <c r="F13" s="10" t="s">
        <v>23</v>
      </c>
      <c r="G13" s="11"/>
      <c r="H13" s="11"/>
    </row>
    <row r="14" spans="1:8" x14ac:dyDescent="0.2">
      <c r="A14" s="8">
        <v>0.68564814814814812</v>
      </c>
      <c r="B14" s="6">
        <v>7.8554690000000003</v>
      </c>
      <c r="C14" s="10">
        <v>778</v>
      </c>
      <c r="D14" s="10" t="s">
        <v>23</v>
      </c>
      <c r="E14" s="10" t="s">
        <v>23</v>
      </c>
      <c r="F14" s="10" t="s">
        <v>23</v>
      </c>
      <c r="G14" s="11"/>
      <c r="H14" s="11"/>
    </row>
    <row r="15" spans="1:8" x14ac:dyDescent="0.2">
      <c r="A15" s="8">
        <v>0.68565972222222227</v>
      </c>
      <c r="B15" s="6">
        <v>8.3710939999999994</v>
      </c>
      <c r="C15" s="10">
        <v>779</v>
      </c>
      <c r="D15" s="10" t="s">
        <v>26</v>
      </c>
      <c r="E15" s="10" t="s">
        <v>26</v>
      </c>
      <c r="F15" s="10">
        <v>21</v>
      </c>
      <c r="G15" s="11"/>
      <c r="H15" s="11"/>
    </row>
    <row r="16" spans="1:8" x14ac:dyDescent="0.2">
      <c r="A16" s="8">
        <v>0.68565972222222227</v>
      </c>
      <c r="B16" s="6">
        <v>8.8867189999999994</v>
      </c>
      <c r="C16" s="10">
        <v>779</v>
      </c>
      <c r="D16" s="10" t="s">
        <v>26</v>
      </c>
      <c r="E16" s="10" t="s">
        <v>26</v>
      </c>
      <c r="F16" s="10">
        <v>4112</v>
      </c>
      <c r="G16" s="11"/>
      <c r="H16" s="11"/>
    </row>
    <row r="17" spans="1:8" x14ac:dyDescent="0.2">
      <c r="A17" s="8">
        <v>0.68567129629629631</v>
      </c>
      <c r="B17" s="6">
        <v>9.4179689999999994</v>
      </c>
      <c r="C17" s="10">
        <v>779</v>
      </c>
      <c r="D17" s="10" t="s">
        <v>26</v>
      </c>
      <c r="E17" s="10" t="s">
        <v>26</v>
      </c>
      <c r="F17" s="10">
        <v>3088</v>
      </c>
      <c r="G17" s="11"/>
      <c r="H17" s="11"/>
    </row>
    <row r="18" spans="1:8" x14ac:dyDescent="0.2">
      <c r="A18" s="8">
        <v>0.68567129629629631</v>
      </c>
      <c r="B18" s="6">
        <v>9.9648439999999994</v>
      </c>
      <c r="C18" s="10">
        <v>779</v>
      </c>
      <c r="D18" s="10" t="s">
        <v>36</v>
      </c>
      <c r="E18" s="9">
        <v>0.48</v>
      </c>
      <c r="F18" s="10" t="s">
        <v>25</v>
      </c>
      <c r="G18" s="11"/>
      <c r="H18" s="11"/>
    </row>
    <row r="19" spans="1:8" x14ac:dyDescent="0.2">
      <c r="A19" s="8">
        <v>0.68568287037037035</v>
      </c>
      <c r="B19" s="6">
        <v>10.48047</v>
      </c>
      <c r="C19" s="10">
        <v>781</v>
      </c>
      <c r="D19" s="10" t="s">
        <v>23</v>
      </c>
      <c r="E19" s="10" t="s">
        <v>23</v>
      </c>
      <c r="F19" s="10" t="s">
        <v>23</v>
      </c>
      <c r="G19" s="11"/>
      <c r="H19" s="11"/>
    </row>
    <row r="20" spans="1:8" x14ac:dyDescent="0.2">
      <c r="A20" s="8">
        <v>0.68568287037037035</v>
      </c>
      <c r="B20" s="6">
        <v>10.98047</v>
      </c>
      <c r="C20" s="10">
        <v>781</v>
      </c>
      <c r="D20" s="10" t="s">
        <v>23</v>
      </c>
      <c r="E20" s="10" t="s">
        <v>23</v>
      </c>
      <c r="F20" s="10" t="s">
        <v>23</v>
      </c>
      <c r="G20" s="11"/>
      <c r="H20" s="11"/>
    </row>
    <row r="21" spans="1:8" x14ac:dyDescent="0.2">
      <c r="A21" s="8">
        <v>0.6856944444444445</v>
      </c>
      <c r="B21" s="6">
        <v>11.48047</v>
      </c>
      <c r="C21" s="10">
        <v>780</v>
      </c>
      <c r="D21" s="10" t="s">
        <v>23</v>
      </c>
      <c r="E21" s="10" t="s">
        <v>23</v>
      </c>
      <c r="F21" s="10" t="s">
        <v>23</v>
      </c>
      <c r="G21" s="11"/>
      <c r="H21" s="11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6E50-17B2-4AF9-8866-95D7BCCAFD97}">
  <dimension ref="A1:H21"/>
  <sheetViews>
    <sheetView tabSelected="1" workbookViewId="0">
      <selection activeCell="H3" sqref="H3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0.68672453703703706</v>
      </c>
      <c r="B2" s="6">
        <v>1.800781</v>
      </c>
      <c r="C2" s="4">
        <v>803</v>
      </c>
      <c r="D2" s="4" t="s">
        <v>33</v>
      </c>
      <c r="E2" s="4" t="s">
        <v>33</v>
      </c>
      <c r="F2" s="4" t="s">
        <v>33</v>
      </c>
      <c r="H2">
        <f>AVERAGE(C2:C21)</f>
        <v>795.65</v>
      </c>
    </row>
    <row r="3" spans="1:8" x14ac:dyDescent="0.2">
      <c r="A3" s="8">
        <v>0.68672453703703706</v>
      </c>
      <c r="B3" s="6">
        <v>2.2695310000000002</v>
      </c>
      <c r="C3" s="4">
        <v>802</v>
      </c>
      <c r="D3" s="4" t="s">
        <v>33</v>
      </c>
      <c r="E3" s="4" t="s">
        <v>33</v>
      </c>
      <c r="F3" s="4" t="s">
        <v>33</v>
      </c>
      <c r="H3">
        <f>91*(1023-H2)/H2</f>
        <v>26.002450826368381</v>
      </c>
    </row>
    <row r="4" spans="1:8" x14ac:dyDescent="0.2">
      <c r="A4" s="8">
        <v>0.6867361111111111</v>
      </c>
      <c r="B4" s="6">
        <v>2.7695310000000002</v>
      </c>
      <c r="C4" s="4">
        <v>799</v>
      </c>
      <c r="D4" s="4" t="s">
        <v>33</v>
      </c>
      <c r="E4" s="4" t="s">
        <v>33</v>
      </c>
      <c r="F4" s="4" t="s">
        <v>33</v>
      </c>
    </row>
    <row r="5" spans="1:8" x14ac:dyDescent="0.2">
      <c r="A5" s="8">
        <v>0.6867361111111111</v>
      </c>
      <c r="B5" s="6">
        <v>3.296875</v>
      </c>
      <c r="C5" s="4">
        <v>800</v>
      </c>
      <c r="D5" s="4" t="s">
        <v>37</v>
      </c>
      <c r="E5" s="9">
        <v>0.49</v>
      </c>
      <c r="F5" s="4" t="s">
        <v>34</v>
      </c>
    </row>
    <row r="6" spans="1:8" x14ac:dyDescent="0.2">
      <c r="A6" s="8">
        <v>0.68674768518518514</v>
      </c>
      <c r="B6" s="6">
        <v>3.8164060000000002</v>
      </c>
      <c r="C6" s="4">
        <v>797</v>
      </c>
      <c r="D6" s="4" t="s">
        <v>33</v>
      </c>
      <c r="E6" s="4" t="s">
        <v>33</v>
      </c>
      <c r="F6" s="4" t="s">
        <v>33</v>
      </c>
    </row>
    <row r="7" spans="1:8" x14ac:dyDescent="0.2">
      <c r="A7" s="8">
        <v>0.68674768518518514</v>
      </c>
      <c r="B7" s="6">
        <v>4.3203129999999996</v>
      </c>
      <c r="C7" s="4">
        <v>797</v>
      </c>
      <c r="D7" s="4" t="s">
        <v>33</v>
      </c>
      <c r="E7" s="4" t="s">
        <v>33</v>
      </c>
      <c r="F7" s="4" t="s">
        <v>33</v>
      </c>
    </row>
    <row r="8" spans="1:8" x14ac:dyDescent="0.2">
      <c r="A8" s="8">
        <v>0.68675925925925929</v>
      </c>
      <c r="B8" s="6">
        <v>4.8203129999999996</v>
      </c>
      <c r="C8" s="4">
        <v>794</v>
      </c>
      <c r="D8" s="4" t="s">
        <v>33</v>
      </c>
      <c r="E8" s="4" t="s">
        <v>33</v>
      </c>
      <c r="F8" s="4" t="s">
        <v>33</v>
      </c>
    </row>
    <row r="9" spans="1:8" x14ac:dyDescent="0.2">
      <c r="A9" s="8">
        <v>0.68675925925925929</v>
      </c>
      <c r="B9" s="6">
        <v>5.3203129999999996</v>
      </c>
      <c r="C9" s="4">
        <v>796</v>
      </c>
      <c r="D9" s="4" t="s">
        <v>33</v>
      </c>
      <c r="E9" s="4" t="s">
        <v>33</v>
      </c>
      <c r="F9" s="4" t="s">
        <v>33</v>
      </c>
    </row>
    <row r="10" spans="1:8" x14ac:dyDescent="0.2">
      <c r="A10" s="8">
        <v>0.68677083333333333</v>
      </c>
      <c r="B10" s="6">
        <v>5.8398440000000003</v>
      </c>
      <c r="C10" s="4">
        <v>796</v>
      </c>
      <c r="D10" s="4" t="s">
        <v>37</v>
      </c>
      <c r="E10" s="9">
        <v>0.49</v>
      </c>
      <c r="F10" s="4" t="s">
        <v>34</v>
      </c>
    </row>
    <row r="11" spans="1:8" x14ac:dyDescent="0.2">
      <c r="A11" s="8">
        <v>0.68677083333333333</v>
      </c>
      <c r="B11" s="6">
        <v>6.359375</v>
      </c>
      <c r="C11" s="4">
        <v>795</v>
      </c>
      <c r="D11" s="4" t="s">
        <v>33</v>
      </c>
      <c r="E11" s="4" t="s">
        <v>33</v>
      </c>
      <c r="F11" s="4" t="s">
        <v>33</v>
      </c>
    </row>
    <row r="12" spans="1:8" x14ac:dyDescent="0.2">
      <c r="A12" s="8">
        <v>0.68678240740740737</v>
      </c>
      <c r="B12" s="6">
        <v>6.8632809999999997</v>
      </c>
      <c r="C12" s="4">
        <v>794</v>
      </c>
      <c r="D12" s="4" t="s">
        <v>33</v>
      </c>
      <c r="E12" s="4" t="s">
        <v>33</v>
      </c>
      <c r="F12" s="4" t="s">
        <v>33</v>
      </c>
    </row>
    <row r="13" spans="1:8" x14ac:dyDescent="0.2">
      <c r="A13" s="8">
        <v>0.68678240740740737</v>
      </c>
      <c r="B13" s="6">
        <v>7.3632809999999997</v>
      </c>
      <c r="C13" s="4">
        <v>795</v>
      </c>
      <c r="D13" s="4" t="s">
        <v>33</v>
      </c>
      <c r="E13" s="4" t="s">
        <v>33</v>
      </c>
      <c r="F13" s="4" t="s">
        <v>33</v>
      </c>
    </row>
    <row r="14" spans="1:8" x14ac:dyDescent="0.2">
      <c r="A14" s="8">
        <v>0.68679398148148152</v>
      </c>
      <c r="B14" s="6">
        <v>7.8632809999999997</v>
      </c>
      <c r="C14" s="4">
        <v>794</v>
      </c>
      <c r="D14" s="4" t="s">
        <v>33</v>
      </c>
      <c r="E14" s="4" t="s">
        <v>33</v>
      </c>
      <c r="F14" s="4" t="s">
        <v>33</v>
      </c>
    </row>
    <row r="15" spans="1:8" x14ac:dyDescent="0.2">
      <c r="A15" s="8">
        <v>0.68679398148148152</v>
      </c>
      <c r="B15" s="6">
        <v>8.3867189999999994</v>
      </c>
      <c r="C15" s="4">
        <v>793</v>
      </c>
      <c r="D15" s="4" t="s">
        <v>37</v>
      </c>
      <c r="E15" s="9">
        <v>0.49</v>
      </c>
      <c r="F15" s="4" t="s">
        <v>34</v>
      </c>
    </row>
    <row r="16" spans="1:8" x14ac:dyDescent="0.2">
      <c r="A16" s="8">
        <v>0.68680555555555556</v>
      </c>
      <c r="B16" s="6">
        <v>8.9023439999999994</v>
      </c>
      <c r="C16" s="4">
        <v>792</v>
      </c>
      <c r="D16" s="4" t="s">
        <v>33</v>
      </c>
      <c r="E16" s="4" t="s">
        <v>33</v>
      </c>
      <c r="F16" s="4" t="s">
        <v>33</v>
      </c>
    </row>
    <row r="17" spans="1:6" x14ac:dyDescent="0.2">
      <c r="A17" s="8">
        <v>0.68680555555555556</v>
      </c>
      <c r="B17" s="6">
        <v>9.40625</v>
      </c>
      <c r="C17" s="4">
        <v>793</v>
      </c>
      <c r="D17" s="4" t="s">
        <v>33</v>
      </c>
      <c r="E17" s="4" t="s">
        <v>33</v>
      </c>
      <c r="F17" s="4" t="s">
        <v>33</v>
      </c>
    </row>
    <row r="18" spans="1:6" x14ac:dyDescent="0.2">
      <c r="A18" s="8">
        <v>0.6868171296296296</v>
      </c>
      <c r="B18" s="6">
        <v>9.90625</v>
      </c>
      <c r="C18" s="4">
        <v>794</v>
      </c>
      <c r="D18" s="4" t="s">
        <v>33</v>
      </c>
      <c r="E18" s="9" t="s">
        <v>33</v>
      </c>
      <c r="F18" s="4" t="s">
        <v>33</v>
      </c>
    </row>
    <row r="19" spans="1:6" x14ac:dyDescent="0.2">
      <c r="A19" s="8">
        <v>0.6868171296296296</v>
      </c>
      <c r="B19" s="6">
        <v>10.402340000000001</v>
      </c>
      <c r="C19" s="4">
        <v>794</v>
      </c>
      <c r="D19" s="4" t="s">
        <v>33</v>
      </c>
      <c r="E19" s="4" t="s">
        <v>33</v>
      </c>
      <c r="F19" s="4" t="s">
        <v>33</v>
      </c>
    </row>
    <row r="20" spans="1:6" x14ac:dyDescent="0.2">
      <c r="A20" s="8">
        <v>0.68682870370370375</v>
      </c>
      <c r="B20" s="6">
        <v>10.929690000000001</v>
      </c>
      <c r="C20" s="4">
        <v>792</v>
      </c>
      <c r="D20" s="4" t="s">
        <v>37</v>
      </c>
      <c r="E20" s="9">
        <v>0.49</v>
      </c>
      <c r="F20" s="4" t="s">
        <v>34</v>
      </c>
    </row>
    <row r="21" spans="1:6" x14ac:dyDescent="0.2">
      <c r="A21" s="8">
        <v>0.68682870370370375</v>
      </c>
      <c r="B21" s="6">
        <v>11.441409999999999</v>
      </c>
      <c r="C21" s="4">
        <v>793</v>
      </c>
      <c r="D21" s="4" t="s">
        <v>33</v>
      </c>
      <c r="E21" s="4" t="s">
        <v>33</v>
      </c>
      <c r="F21" s="4" t="s">
        <v>33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EB91-2876-4D59-8021-D844F67046D8}">
  <dimension ref="A1:H21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0.68777777777777782</v>
      </c>
      <c r="B2" s="6">
        <v>1.792969</v>
      </c>
      <c r="C2" s="4">
        <v>806</v>
      </c>
      <c r="D2" s="4" t="s">
        <v>33</v>
      </c>
      <c r="E2" s="4" t="s">
        <v>33</v>
      </c>
      <c r="F2" s="4" t="s">
        <v>33</v>
      </c>
      <c r="H2">
        <f>AVERAGE(C2:C21)</f>
        <v>804</v>
      </c>
    </row>
    <row r="3" spans="1:8" x14ac:dyDescent="0.2">
      <c r="A3" s="8">
        <v>0.68778935185185186</v>
      </c>
      <c r="B3" s="6">
        <v>2.2617189999999998</v>
      </c>
      <c r="C3" s="4">
        <v>803</v>
      </c>
      <c r="D3" s="4" t="s">
        <v>33</v>
      </c>
      <c r="E3" s="4" t="s">
        <v>33</v>
      </c>
      <c r="F3" s="4" t="s">
        <v>33</v>
      </c>
      <c r="H3">
        <f>91*(1023-H2)/H2</f>
        <v>24.78731343283582</v>
      </c>
    </row>
    <row r="4" spans="1:8" x14ac:dyDescent="0.2">
      <c r="A4" s="8">
        <v>0.68778935185185186</v>
      </c>
      <c r="B4" s="6">
        <v>2.7578130000000001</v>
      </c>
      <c r="C4" s="4">
        <v>807</v>
      </c>
      <c r="D4" s="4" t="s">
        <v>33</v>
      </c>
      <c r="E4" s="4" t="s">
        <v>33</v>
      </c>
      <c r="F4" s="4" t="s">
        <v>33</v>
      </c>
    </row>
    <row r="5" spans="1:8" x14ac:dyDescent="0.2">
      <c r="A5" s="8">
        <v>0.6878009259259259</v>
      </c>
      <c r="B5" s="6">
        <v>3.2851560000000002</v>
      </c>
      <c r="C5" s="4">
        <v>804</v>
      </c>
      <c r="D5" s="4" t="s">
        <v>37</v>
      </c>
      <c r="E5" s="9">
        <v>0.49</v>
      </c>
      <c r="F5" s="4" t="s">
        <v>34</v>
      </c>
    </row>
    <row r="6" spans="1:8" x14ac:dyDescent="0.2">
      <c r="A6" s="8">
        <v>0.6878009259259259</v>
      </c>
      <c r="B6" s="6">
        <v>3.8007810000000002</v>
      </c>
      <c r="C6" s="4">
        <v>803</v>
      </c>
      <c r="D6" s="4" t="s">
        <v>33</v>
      </c>
      <c r="E6" s="4" t="s">
        <v>33</v>
      </c>
      <c r="F6" s="4" t="s">
        <v>33</v>
      </c>
    </row>
    <row r="7" spans="1:8" x14ac:dyDescent="0.2">
      <c r="A7" s="8">
        <v>0.68781250000000005</v>
      </c>
      <c r="B7" s="6">
        <v>4.3007809999999997</v>
      </c>
      <c r="C7" s="4">
        <v>804</v>
      </c>
      <c r="D7" s="4" t="s">
        <v>33</v>
      </c>
      <c r="E7" s="4" t="s">
        <v>33</v>
      </c>
      <c r="F7" s="4" t="s">
        <v>33</v>
      </c>
    </row>
    <row r="8" spans="1:8" x14ac:dyDescent="0.2">
      <c r="A8" s="8">
        <v>0.68781250000000005</v>
      </c>
      <c r="B8" s="6">
        <v>4.8007809999999997</v>
      </c>
      <c r="C8" s="4">
        <v>804</v>
      </c>
      <c r="D8" s="4" t="s">
        <v>33</v>
      </c>
      <c r="E8" s="4" t="s">
        <v>33</v>
      </c>
      <c r="F8" s="4" t="s">
        <v>33</v>
      </c>
    </row>
    <row r="9" spans="1:8" x14ac:dyDescent="0.2">
      <c r="A9" s="8">
        <v>0.68782407407407409</v>
      </c>
      <c r="B9" s="6">
        <v>5.3046879999999996</v>
      </c>
      <c r="C9" s="4">
        <v>802</v>
      </c>
      <c r="D9" s="4" t="s">
        <v>33</v>
      </c>
      <c r="E9" s="4" t="s">
        <v>33</v>
      </c>
      <c r="F9" s="4" t="s">
        <v>33</v>
      </c>
    </row>
    <row r="10" spans="1:8" x14ac:dyDescent="0.2">
      <c r="A10" s="8">
        <v>0.68782407407407409</v>
      </c>
      <c r="B10" s="6">
        <v>5.8203129999999996</v>
      </c>
      <c r="C10" s="4">
        <v>804</v>
      </c>
      <c r="D10" s="4" t="s">
        <v>37</v>
      </c>
      <c r="E10" s="9">
        <v>0.49</v>
      </c>
      <c r="F10" s="4" t="s">
        <v>25</v>
      </c>
    </row>
    <row r="11" spans="1:8" x14ac:dyDescent="0.2">
      <c r="A11" s="8">
        <v>0.68783564814814813</v>
      </c>
      <c r="B11" s="6">
        <v>6.3398440000000003</v>
      </c>
      <c r="C11" s="4">
        <v>805</v>
      </c>
      <c r="D11" s="4" t="s">
        <v>33</v>
      </c>
      <c r="E11" s="4" t="s">
        <v>33</v>
      </c>
      <c r="F11" s="4" t="s">
        <v>23</v>
      </c>
    </row>
    <row r="12" spans="1:8" x14ac:dyDescent="0.2">
      <c r="A12" s="8">
        <v>0.68783564814814813</v>
      </c>
      <c r="B12" s="6">
        <v>6.8398440000000003</v>
      </c>
      <c r="C12" s="4">
        <v>802</v>
      </c>
      <c r="D12" s="4" t="s">
        <v>33</v>
      </c>
      <c r="E12" s="9" t="s">
        <v>23</v>
      </c>
      <c r="F12" s="4" t="s">
        <v>33</v>
      </c>
    </row>
    <row r="13" spans="1:8" x14ac:dyDescent="0.2">
      <c r="A13" s="8">
        <v>0.68784722222222228</v>
      </c>
      <c r="B13" s="6">
        <v>7.3476559999999997</v>
      </c>
      <c r="C13" s="4">
        <v>802</v>
      </c>
      <c r="D13" s="4" t="s">
        <v>33</v>
      </c>
      <c r="E13" s="4" t="s">
        <v>33</v>
      </c>
      <c r="F13" s="4" t="s">
        <v>33</v>
      </c>
    </row>
    <row r="14" spans="1:8" x14ac:dyDescent="0.2">
      <c r="A14" s="8">
        <v>0.68784722222222228</v>
      </c>
      <c r="B14" s="6">
        <v>7.84375</v>
      </c>
      <c r="C14" s="4">
        <v>803</v>
      </c>
      <c r="D14" s="4" t="s">
        <v>33</v>
      </c>
      <c r="E14" s="4" t="s">
        <v>33</v>
      </c>
      <c r="F14" s="4" t="s">
        <v>33</v>
      </c>
    </row>
    <row r="15" spans="1:8" x14ac:dyDescent="0.2">
      <c r="A15" s="8">
        <v>0.68785879629629632</v>
      </c>
      <c r="B15" s="6">
        <v>8.3632810000000006</v>
      </c>
      <c r="C15" s="4">
        <v>805</v>
      </c>
      <c r="D15" s="4" t="s">
        <v>35</v>
      </c>
      <c r="E15" s="9" t="s">
        <v>35</v>
      </c>
      <c r="F15" s="4">
        <v>21</v>
      </c>
    </row>
    <row r="16" spans="1:8" x14ac:dyDescent="0.2">
      <c r="A16" s="8">
        <v>0.68785879629629632</v>
      </c>
      <c r="B16" s="6">
        <v>8.8828130000000005</v>
      </c>
      <c r="C16" s="4">
        <v>805</v>
      </c>
      <c r="D16" s="4" t="s">
        <v>35</v>
      </c>
      <c r="E16" s="4" t="s">
        <v>35</v>
      </c>
      <c r="F16" s="4">
        <v>3088</v>
      </c>
    </row>
    <row r="17" spans="1:6" x14ac:dyDescent="0.2">
      <c r="A17" s="8">
        <v>0.68787037037037035</v>
      </c>
      <c r="B17" s="6">
        <v>9.4101560000000006</v>
      </c>
      <c r="C17" s="4">
        <v>805</v>
      </c>
      <c r="D17" s="4" t="s">
        <v>35</v>
      </c>
      <c r="E17" s="9" t="s">
        <v>26</v>
      </c>
      <c r="F17" s="4">
        <v>4112</v>
      </c>
    </row>
    <row r="18" spans="1:6" x14ac:dyDescent="0.2">
      <c r="A18" s="8">
        <v>0.68787037037037035</v>
      </c>
      <c r="B18" s="6">
        <v>9.9492189999999994</v>
      </c>
      <c r="C18" s="4">
        <v>804</v>
      </c>
      <c r="D18" s="4" t="s">
        <v>37</v>
      </c>
      <c r="E18" s="9">
        <v>0.49</v>
      </c>
      <c r="F18" s="4" t="s">
        <v>34</v>
      </c>
    </row>
    <row r="19" spans="1:6" x14ac:dyDescent="0.2">
      <c r="A19" s="8">
        <v>0.68788194444444439</v>
      </c>
      <c r="B19" s="6">
        <v>10.46875</v>
      </c>
      <c r="C19" s="4">
        <v>805</v>
      </c>
      <c r="D19" s="4" t="s">
        <v>33</v>
      </c>
      <c r="E19" s="4" t="s">
        <v>33</v>
      </c>
      <c r="F19" s="4" t="s">
        <v>33</v>
      </c>
    </row>
    <row r="20" spans="1:6" x14ac:dyDescent="0.2">
      <c r="A20" s="8">
        <v>0.68788194444444439</v>
      </c>
      <c r="B20" s="6">
        <v>10.96875</v>
      </c>
      <c r="C20" s="4">
        <v>802</v>
      </c>
      <c r="D20" s="4" t="s">
        <v>33</v>
      </c>
      <c r="E20" s="9" t="s">
        <v>33</v>
      </c>
      <c r="F20" s="4" t="s">
        <v>33</v>
      </c>
    </row>
    <row r="21" spans="1:6" x14ac:dyDescent="0.2">
      <c r="A21" s="8">
        <v>0.68789351851851854</v>
      </c>
      <c r="B21" s="6">
        <v>11.46875</v>
      </c>
      <c r="C21" s="4">
        <v>805</v>
      </c>
      <c r="D21" s="4" t="s">
        <v>33</v>
      </c>
      <c r="E21" s="4" t="s">
        <v>33</v>
      </c>
      <c r="F21" s="4" t="s">
        <v>33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AD417-E107-4EA9-8871-86EC32077C95}">
  <dimension ref="A1:H21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0.68902777777777779</v>
      </c>
      <c r="B2" s="6">
        <v>1.800781</v>
      </c>
      <c r="C2" s="4">
        <v>781</v>
      </c>
      <c r="D2" s="4" t="s">
        <v>33</v>
      </c>
      <c r="E2" s="4" t="s">
        <v>33</v>
      </c>
      <c r="F2" s="4" t="s">
        <v>33</v>
      </c>
      <c r="H2">
        <f>AVERAGE(C2:C21)</f>
        <v>783</v>
      </c>
    </row>
    <row r="3" spans="1:8" x14ac:dyDescent="0.2">
      <c r="A3" s="8">
        <v>0.68902777777777779</v>
      </c>
      <c r="B3" s="6">
        <v>2.2617189999999998</v>
      </c>
      <c r="C3" s="4">
        <v>782</v>
      </c>
      <c r="D3" s="4" t="s">
        <v>33</v>
      </c>
      <c r="E3" s="4" t="s">
        <v>33</v>
      </c>
      <c r="F3" s="4" t="s">
        <v>33</v>
      </c>
      <c r="H3">
        <f>91*(1023-H2)/H2</f>
        <v>27.892720306513411</v>
      </c>
    </row>
    <row r="4" spans="1:8" x14ac:dyDescent="0.2">
      <c r="A4" s="8">
        <v>0.68902777777777779</v>
      </c>
      <c r="B4" s="6">
        <v>2.765625</v>
      </c>
      <c r="C4" s="4">
        <v>783</v>
      </c>
      <c r="D4" s="4" t="s">
        <v>33</v>
      </c>
      <c r="E4" s="4" t="s">
        <v>33</v>
      </c>
      <c r="F4" s="4" t="s">
        <v>33</v>
      </c>
    </row>
    <row r="5" spans="1:8" x14ac:dyDescent="0.2">
      <c r="A5" s="8">
        <v>0.68903935185185183</v>
      </c>
      <c r="B5" s="6">
        <v>3.2851560000000002</v>
      </c>
      <c r="C5" s="4">
        <v>782</v>
      </c>
      <c r="D5" s="4" t="s">
        <v>37</v>
      </c>
      <c r="E5" s="9">
        <v>0.49</v>
      </c>
      <c r="F5" s="4" t="s">
        <v>34</v>
      </c>
    </row>
    <row r="6" spans="1:8" x14ac:dyDescent="0.2">
      <c r="A6" s="8">
        <v>0.68905092592592587</v>
      </c>
      <c r="B6" s="6">
        <v>3.8046880000000001</v>
      </c>
      <c r="C6" s="4">
        <v>785</v>
      </c>
      <c r="D6" s="4" t="s">
        <v>33</v>
      </c>
      <c r="E6" s="4" t="s">
        <v>33</v>
      </c>
      <c r="F6" s="4" t="s">
        <v>33</v>
      </c>
    </row>
    <row r="7" spans="1:8" x14ac:dyDescent="0.2">
      <c r="A7" s="8">
        <v>0.68905092592592587</v>
      </c>
      <c r="B7" s="6">
        <v>4.3046879999999996</v>
      </c>
      <c r="C7" s="4">
        <v>782</v>
      </c>
      <c r="D7" s="4" t="s">
        <v>33</v>
      </c>
      <c r="E7" s="4" t="s">
        <v>33</v>
      </c>
      <c r="F7" s="4" t="s">
        <v>33</v>
      </c>
    </row>
    <row r="8" spans="1:8" x14ac:dyDescent="0.2">
      <c r="A8" s="8">
        <v>0.68906250000000002</v>
      </c>
      <c r="B8" s="6">
        <v>4.8085940000000003</v>
      </c>
      <c r="C8" s="4">
        <v>783</v>
      </c>
      <c r="D8" s="4" t="s">
        <v>33</v>
      </c>
      <c r="E8" s="4" t="s">
        <v>33</v>
      </c>
      <c r="F8" s="4" t="s">
        <v>33</v>
      </c>
    </row>
    <row r="9" spans="1:8" x14ac:dyDescent="0.2">
      <c r="A9" s="8">
        <v>0.68906250000000002</v>
      </c>
      <c r="B9" s="6">
        <v>5.3046879999999996</v>
      </c>
      <c r="C9" s="4">
        <v>783</v>
      </c>
      <c r="D9" s="4" t="s">
        <v>33</v>
      </c>
      <c r="E9" s="4" t="s">
        <v>33</v>
      </c>
      <c r="F9" s="4" t="s">
        <v>33</v>
      </c>
    </row>
    <row r="10" spans="1:8" x14ac:dyDescent="0.2">
      <c r="A10" s="8">
        <v>0.68907407407407406</v>
      </c>
      <c r="B10" s="6">
        <v>5.8203129999999996</v>
      </c>
      <c r="C10" s="4">
        <v>781</v>
      </c>
      <c r="D10" s="4" t="s">
        <v>35</v>
      </c>
      <c r="E10" s="9" t="s">
        <v>26</v>
      </c>
      <c r="F10" s="4">
        <v>21</v>
      </c>
    </row>
    <row r="11" spans="1:8" x14ac:dyDescent="0.2">
      <c r="A11" s="8">
        <v>0.68907407407407406</v>
      </c>
      <c r="B11" s="6">
        <v>6.3515629999999996</v>
      </c>
      <c r="C11" s="4">
        <v>782</v>
      </c>
      <c r="D11" s="4" t="s">
        <v>35</v>
      </c>
      <c r="E11" s="4" t="s">
        <v>35</v>
      </c>
      <c r="F11" s="4">
        <v>4112</v>
      </c>
    </row>
    <row r="12" spans="1:8" x14ac:dyDescent="0.2">
      <c r="A12" s="8">
        <v>0.6890856481481481</v>
      </c>
      <c r="B12" s="6">
        <v>6.8671879999999996</v>
      </c>
      <c r="C12" s="4">
        <v>781</v>
      </c>
      <c r="D12" s="4" t="s">
        <v>35</v>
      </c>
      <c r="E12" s="4" t="s">
        <v>35</v>
      </c>
      <c r="F12" s="4">
        <v>4112</v>
      </c>
    </row>
    <row r="13" spans="1:8" x14ac:dyDescent="0.2">
      <c r="A13" s="8">
        <v>0.6890856481481481</v>
      </c>
      <c r="B13" s="6">
        <v>7.4101559999999997</v>
      </c>
      <c r="C13" s="4">
        <v>784</v>
      </c>
      <c r="D13" s="4" t="s">
        <v>37</v>
      </c>
      <c r="E13" s="9">
        <v>0.49</v>
      </c>
      <c r="F13" s="4" t="s">
        <v>34</v>
      </c>
    </row>
    <row r="14" spans="1:8" x14ac:dyDescent="0.2">
      <c r="A14" s="8">
        <v>0.68909722222222225</v>
      </c>
      <c r="B14" s="6">
        <v>7.9296879999999996</v>
      </c>
      <c r="C14" s="4">
        <v>783</v>
      </c>
      <c r="D14" s="4" t="s">
        <v>33</v>
      </c>
      <c r="E14" s="4" t="s">
        <v>33</v>
      </c>
      <c r="F14" s="4" t="s">
        <v>33</v>
      </c>
    </row>
    <row r="15" spans="1:8" x14ac:dyDescent="0.2">
      <c r="A15" s="8">
        <v>0.68909722222222225</v>
      </c>
      <c r="B15" s="6">
        <v>8.4296880000000005</v>
      </c>
      <c r="C15" s="4">
        <v>783</v>
      </c>
      <c r="D15" s="4" t="s">
        <v>33</v>
      </c>
      <c r="E15" s="9" t="s">
        <v>23</v>
      </c>
      <c r="F15" s="4" t="s">
        <v>33</v>
      </c>
    </row>
    <row r="16" spans="1:8" x14ac:dyDescent="0.2">
      <c r="A16" s="8">
        <v>0.68910879629629629</v>
      </c>
      <c r="B16" s="6">
        <v>8.9296880000000005</v>
      </c>
      <c r="C16" s="4">
        <v>783</v>
      </c>
      <c r="D16" s="4" t="s">
        <v>33</v>
      </c>
      <c r="E16" s="4" t="s">
        <v>33</v>
      </c>
      <c r="F16" s="4" t="s">
        <v>33</v>
      </c>
    </row>
    <row r="17" spans="1:6" x14ac:dyDescent="0.2">
      <c r="A17" s="8">
        <v>0.68910879629629629</v>
      </c>
      <c r="B17" s="6">
        <v>9.4296880000000005</v>
      </c>
      <c r="C17" s="4">
        <v>784</v>
      </c>
      <c r="D17" s="4" t="s">
        <v>33</v>
      </c>
      <c r="E17" s="4" t="s">
        <v>33</v>
      </c>
      <c r="F17" s="4" t="s">
        <v>33</v>
      </c>
    </row>
    <row r="18" spans="1:6" x14ac:dyDescent="0.2">
      <c r="A18" s="8">
        <v>0.68912037037037033</v>
      </c>
      <c r="B18" s="6">
        <v>9.9414060000000006</v>
      </c>
      <c r="C18" s="4">
        <v>787</v>
      </c>
      <c r="D18" s="4" t="s">
        <v>35</v>
      </c>
      <c r="E18" s="4" t="s">
        <v>35</v>
      </c>
      <c r="F18" s="4">
        <v>21</v>
      </c>
    </row>
    <row r="19" spans="1:6" x14ac:dyDescent="0.2">
      <c r="A19" s="8">
        <v>0.68912037037037033</v>
      </c>
      <c r="B19" s="6">
        <v>10.472659999999999</v>
      </c>
      <c r="C19" s="4">
        <v>784</v>
      </c>
      <c r="D19" s="4" t="s">
        <v>35</v>
      </c>
      <c r="E19" s="4" t="s">
        <v>35</v>
      </c>
      <c r="F19" s="4">
        <v>4112</v>
      </c>
    </row>
    <row r="20" spans="1:6" x14ac:dyDescent="0.2">
      <c r="A20" s="8">
        <v>0.68913194444444448</v>
      </c>
      <c r="B20" s="6">
        <v>10.98828</v>
      </c>
      <c r="C20" s="4">
        <v>783</v>
      </c>
      <c r="D20" s="4" t="s">
        <v>35</v>
      </c>
      <c r="E20" s="9" t="s">
        <v>26</v>
      </c>
      <c r="F20" s="4">
        <v>3088</v>
      </c>
    </row>
    <row r="21" spans="1:6" x14ac:dyDescent="0.2">
      <c r="A21" s="8">
        <v>0.68913194444444448</v>
      </c>
      <c r="B21" s="6">
        <v>11.51953</v>
      </c>
      <c r="C21" s="4">
        <v>784</v>
      </c>
      <c r="D21" s="4" t="s">
        <v>35</v>
      </c>
      <c r="E21" s="4" t="s">
        <v>35</v>
      </c>
      <c r="F21" s="4">
        <v>21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83E98-91FF-4FB6-B4B8-C539CD2B8EDF}">
  <dimension ref="A1:H21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0.69011574074074078</v>
      </c>
      <c r="B2" s="6">
        <v>1.800781</v>
      </c>
      <c r="C2" s="4">
        <v>787</v>
      </c>
      <c r="D2" s="4" t="s">
        <v>33</v>
      </c>
      <c r="E2" s="4" t="s">
        <v>33</v>
      </c>
      <c r="F2" s="4" t="s">
        <v>33</v>
      </c>
      <c r="H2">
        <f>AVERAGE(C2:C21)</f>
        <v>785.5</v>
      </c>
    </row>
    <row r="3" spans="1:8" x14ac:dyDescent="0.2">
      <c r="A3" s="8">
        <v>0.69012731481481482</v>
      </c>
      <c r="B3" s="6">
        <v>2.265625</v>
      </c>
      <c r="C3" s="4">
        <v>787</v>
      </c>
      <c r="D3" s="4" t="s">
        <v>33</v>
      </c>
      <c r="E3" s="4" t="s">
        <v>33</v>
      </c>
      <c r="F3" s="4" t="s">
        <v>33</v>
      </c>
      <c r="H3">
        <f>91*(1023-H2)/H2</f>
        <v>27.514322087842139</v>
      </c>
    </row>
    <row r="4" spans="1:8" x14ac:dyDescent="0.2">
      <c r="A4" s="8">
        <v>0.69012731481481482</v>
      </c>
      <c r="B4" s="6">
        <v>2.765625</v>
      </c>
      <c r="C4" s="4">
        <v>788</v>
      </c>
      <c r="D4" s="4" t="s">
        <v>33</v>
      </c>
      <c r="E4" s="4" t="s">
        <v>33</v>
      </c>
      <c r="F4" s="4" t="s">
        <v>33</v>
      </c>
    </row>
    <row r="5" spans="1:8" x14ac:dyDescent="0.2">
      <c r="A5" s="8">
        <v>0.69013888888888886</v>
      </c>
      <c r="B5" s="6">
        <v>3.2929689999999998</v>
      </c>
      <c r="C5" s="4">
        <v>785</v>
      </c>
      <c r="D5" s="4" t="s">
        <v>37</v>
      </c>
      <c r="E5" s="9">
        <v>0.49</v>
      </c>
      <c r="F5" s="4" t="s">
        <v>34</v>
      </c>
    </row>
    <row r="6" spans="1:8" x14ac:dyDescent="0.2">
      <c r="A6" s="8">
        <v>0.69013888888888886</v>
      </c>
      <c r="B6" s="6">
        <v>3.8085939999999998</v>
      </c>
      <c r="C6" s="4">
        <v>785</v>
      </c>
      <c r="D6" s="4" t="s">
        <v>33</v>
      </c>
      <c r="E6" s="4" t="s">
        <v>33</v>
      </c>
      <c r="F6" s="4" t="s">
        <v>33</v>
      </c>
    </row>
    <row r="7" spans="1:8" x14ac:dyDescent="0.2">
      <c r="A7" s="8">
        <v>0.69015046296296301</v>
      </c>
      <c r="B7" s="6">
        <v>4.3125</v>
      </c>
      <c r="C7" s="4">
        <v>784</v>
      </c>
      <c r="D7" s="4" t="s">
        <v>33</v>
      </c>
      <c r="E7" s="4" t="s">
        <v>33</v>
      </c>
      <c r="F7" s="4" t="s">
        <v>33</v>
      </c>
    </row>
    <row r="8" spans="1:8" x14ac:dyDescent="0.2">
      <c r="A8" s="8">
        <v>0.69015046296296301</v>
      </c>
      <c r="B8" s="6">
        <v>4.8085940000000003</v>
      </c>
      <c r="C8" s="4">
        <v>785</v>
      </c>
      <c r="D8" s="4" t="s">
        <v>33</v>
      </c>
      <c r="E8" s="4" t="s">
        <v>33</v>
      </c>
      <c r="F8" s="4" t="s">
        <v>33</v>
      </c>
    </row>
    <row r="9" spans="1:8" x14ac:dyDescent="0.2">
      <c r="A9" s="8">
        <v>0.69016203703703705</v>
      </c>
      <c r="B9" s="6">
        <v>5.3085940000000003</v>
      </c>
      <c r="C9" s="4">
        <v>787</v>
      </c>
      <c r="D9" s="4" t="s">
        <v>33</v>
      </c>
      <c r="E9" s="4" t="s">
        <v>33</v>
      </c>
      <c r="F9" s="4" t="s">
        <v>33</v>
      </c>
    </row>
    <row r="10" spans="1:8" x14ac:dyDescent="0.2">
      <c r="A10" s="8">
        <v>0.69016203703703705</v>
      </c>
      <c r="B10" s="6">
        <v>5.8359379999999996</v>
      </c>
      <c r="C10" s="4">
        <v>784</v>
      </c>
      <c r="D10" s="4" t="s">
        <v>37</v>
      </c>
      <c r="E10" s="9">
        <v>0.48</v>
      </c>
      <c r="F10" s="4" t="s">
        <v>34</v>
      </c>
    </row>
    <row r="11" spans="1:8" x14ac:dyDescent="0.2">
      <c r="A11" s="8">
        <v>0.69017361111111108</v>
      </c>
      <c r="B11" s="6">
        <v>6.3515629999999996</v>
      </c>
      <c r="C11" s="4">
        <v>784</v>
      </c>
      <c r="D11" s="4" t="s">
        <v>33</v>
      </c>
      <c r="E11" s="4" t="s">
        <v>33</v>
      </c>
      <c r="F11" s="4" t="s">
        <v>33</v>
      </c>
    </row>
    <row r="12" spans="1:8" x14ac:dyDescent="0.2">
      <c r="A12" s="8">
        <v>0.69017361111111108</v>
      </c>
      <c r="B12" s="6">
        <v>6.8476559999999997</v>
      </c>
      <c r="C12" s="4">
        <v>783</v>
      </c>
      <c r="D12" s="4" t="s">
        <v>33</v>
      </c>
      <c r="E12" s="4" t="s">
        <v>33</v>
      </c>
      <c r="F12" s="4" t="s">
        <v>33</v>
      </c>
    </row>
    <row r="13" spans="1:8" x14ac:dyDescent="0.2">
      <c r="A13" s="8">
        <v>0.69018518518518523</v>
      </c>
      <c r="B13" s="6">
        <v>7.3476559999999997</v>
      </c>
      <c r="C13" s="4">
        <v>783</v>
      </c>
      <c r="D13" s="4" t="s">
        <v>33</v>
      </c>
      <c r="E13" s="4" t="s">
        <v>33</v>
      </c>
      <c r="F13" s="4" t="s">
        <v>33</v>
      </c>
    </row>
    <row r="14" spans="1:8" x14ac:dyDescent="0.2">
      <c r="A14" s="8">
        <v>0.69018518518518523</v>
      </c>
      <c r="B14" s="6">
        <v>7.8515629999999996</v>
      </c>
      <c r="C14" s="4">
        <v>784</v>
      </c>
      <c r="D14" s="4" t="s">
        <v>33</v>
      </c>
      <c r="E14" s="4" t="s">
        <v>33</v>
      </c>
      <c r="F14" s="4" t="s">
        <v>33</v>
      </c>
    </row>
    <row r="15" spans="1:8" x14ac:dyDescent="0.2">
      <c r="A15" s="8">
        <v>0.69019675925925927</v>
      </c>
      <c r="B15" s="6">
        <v>8.3710939999999994</v>
      </c>
      <c r="C15" s="4">
        <v>786</v>
      </c>
      <c r="D15" s="4" t="s">
        <v>35</v>
      </c>
      <c r="E15" s="9" t="s">
        <v>26</v>
      </c>
      <c r="F15" s="4">
        <v>21</v>
      </c>
    </row>
    <row r="16" spans="1:8" x14ac:dyDescent="0.2">
      <c r="A16" s="8">
        <v>0.69019675925925927</v>
      </c>
      <c r="B16" s="6">
        <v>8.890625</v>
      </c>
      <c r="C16" s="4">
        <v>784</v>
      </c>
      <c r="D16" s="4" t="s">
        <v>35</v>
      </c>
      <c r="E16" s="4" t="s">
        <v>35</v>
      </c>
      <c r="F16" s="4">
        <v>3088</v>
      </c>
    </row>
    <row r="17" spans="1:6" x14ac:dyDescent="0.2">
      <c r="A17" s="8">
        <v>0.69020833333333331</v>
      </c>
      <c r="B17" s="6">
        <v>9.4179689999999994</v>
      </c>
      <c r="C17" s="4">
        <v>787</v>
      </c>
      <c r="D17" s="4" t="s">
        <v>35</v>
      </c>
      <c r="E17" s="4" t="s">
        <v>35</v>
      </c>
      <c r="F17" s="4">
        <v>4112</v>
      </c>
    </row>
    <row r="18" spans="1:6" x14ac:dyDescent="0.2">
      <c r="A18" s="8">
        <v>0.69020833333333331</v>
      </c>
      <c r="B18" s="6">
        <v>9.9570310000000006</v>
      </c>
      <c r="C18" s="4">
        <v>785</v>
      </c>
      <c r="D18" s="4" t="s">
        <v>37</v>
      </c>
      <c r="E18" s="9">
        <v>0.48</v>
      </c>
      <c r="F18" s="4" t="s">
        <v>34</v>
      </c>
    </row>
    <row r="19" spans="1:6" x14ac:dyDescent="0.2">
      <c r="A19" s="8">
        <v>0.69021990740740746</v>
      </c>
      <c r="B19" s="6">
        <v>10.476559999999999</v>
      </c>
      <c r="C19" s="4">
        <v>788</v>
      </c>
      <c r="D19" s="4" t="s">
        <v>33</v>
      </c>
      <c r="E19" s="4" t="s">
        <v>33</v>
      </c>
      <c r="F19" s="4" t="s">
        <v>33</v>
      </c>
    </row>
    <row r="20" spans="1:6" x14ac:dyDescent="0.2">
      <c r="A20" s="8">
        <v>0.69021990740740746</v>
      </c>
      <c r="B20" s="6">
        <v>10.976559999999999</v>
      </c>
      <c r="C20" s="4">
        <v>788</v>
      </c>
      <c r="D20" s="4" t="s">
        <v>33</v>
      </c>
      <c r="E20" s="9" t="s">
        <v>23</v>
      </c>
      <c r="F20" s="4" t="s">
        <v>33</v>
      </c>
    </row>
    <row r="21" spans="1:6" x14ac:dyDescent="0.2">
      <c r="A21" s="8">
        <v>0.6902314814814815</v>
      </c>
      <c r="B21" s="6">
        <v>11.48047</v>
      </c>
      <c r="C21" s="4">
        <v>786</v>
      </c>
      <c r="D21" s="4" t="s">
        <v>33</v>
      </c>
      <c r="E21" s="4" t="s">
        <v>33</v>
      </c>
      <c r="F21" s="4" t="s">
        <v>33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7801A-6E9E-480F-A03B-78C2D4048085}">
  <dimension ref="A1:H24"/>
  <sheetViews>
    <sheetView workbookViewId="0">
      <selection activeCell="H3" sqref="H3"/>
    </sheetView>
  </sheetViews>
  <sheetFormatPr defaultRowHeight="12.75" x14ac:dyDescent="0.2"/>
  <cols>
    <col min="1" max="1" width="12.85546875" style="4" customWidth="1"/>
    <col min="2" max="2" width="10.28515625" style="6" bestFit="1" customWidth="1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0.69123842592592588</v>
      </c>
      <c r="B2" s="6">
        <v>1.785156</v>
      </c>
      <c r="C2" s="4">
        <v>816</v>
      </c>
      <c r="D2" s="4" t="s">
        <v>33</v>
      </c>
      <c r="E2" s="4" t="s">
        <v>33</v>
      </c>
      <c r="F2" s="4" t="s">
        <v>33</v>
      </c>
      <c r="H2">
        <f>AVERAGE(C2:C21)</f>
        <v>817.4</v>
      </c>
    </row>
    <row r="3" spans="1:8" x14ac:dyDescent="0.2">
      <c r="A3" s="8">
        <v>0.69123842592592588</v>
      </c>
      <c r="B3" s="6">
        <v>2.2539060000000002</v>
      </c>
      <c r="C3" s="4">
        <v>819</v>
      </c>
      <c r="D3" s="4" t="s">
        <v>33</v>
      </c>
      <c r="E3" s="4" t="s">
        <v>33</v>
      </c>
      <c r="F3" s="4" t="s">
        <v>33</v>
      </c>
      <c r="H3">
        <f>91*(1023-H2)/H2</f>
        <v>22.889160753609008</v>
      </c>
    </row>
    <row r="4" spans="1:8" x14ac:dyDescent="0.2">
      <c r="A4" s="8">
        <v>0.69125000000000003</v>
      </c>
      <c r="B4" s="6">
        <v>2.75</v>
      </c>
      <c r="C4" s="4">
        <v>819</v>
      </c>
      <c r="D4" s="4" t="s">
        <v>33</v>
      </c>
      <c r="E4" s="4" t="s">
        <v>33</v>
      </c>
      <c r="F4" s="4" t="s">
        <v>33</v>
      </c>
    </row>
    <row r="5" spans="1:8" x14ac:dyDescent="0.2">
      <c r="A5" s="8">
        <v>0.69125000000000003</v>
      </c>
      <c r="B5" s="6">
        <v>3.2851560000000002</v>
      </c>
      <c r="C5" s="4">
        <v>818</v>
      </c>
      <c r="D5" s="4" t="s">
        <v>37</v>
      </c>
      <c r="E5" s="9">
        <v>0.48</v>
      </c>
      <c r="F5" s="4" t="s">
        <v>34</v>
      </c>
    </row>
    <row r="6" spans="1:8" x14ac:dyDescent="0.2">
      <c r="A6" s="8">
        <v>0.69126157407407407</v>
      </c>
      <c r="B6" s="6">
        <v>3.7890630000000001</v>
      </c>
      <c r="C6" s="4">
        <v>819</v>
      </c>
      <c r="D6" s="4" t="s">
        <v>33</v>
      </c>
      <c r="E6" s="4" t="s">
        <v>33</v>
      </c>
      <c r="F6" s="4" t="s">
        <v>33</v>
      </c>
    </row>
    <row r="7" spans="1:8" x14ac:dyDescent="0.2">
      <c r="A7" s="8">
        <v>0.69126157407407407</v>
      </c>
      <c r="B7" s="6">
        <v>4.3007809999999997</v>
      </c>
      <c r="C7" s="4">
        <v>820</v>
      </c>
      <c r="D7" s="4" t="s">
        <v>33</v>
      </c>
      <c r="E7" s="4" t="s">
        <v>33</v>
      </c>
      <c r="F7" s="4" t="s">
        <v>33</v>
      </c>
    </row>
    <row r="8" spans="1:8" x14ac:dyDescent="0.2">
      <c r="A8" s="8">
        <v>0.69127314814814811</v>
      </c>
      <c r="B8" s="6">
        <v>4.8007809999999997</v>
      </c>
      <c r="C8" s="4">
        <v>819</v>
      </c>
      <c r="D8" s="4" t="s">
        <v>33</v>
      </c>
      <c r="E8" s="4" t="s">
        <v>33</v>
      </c>
      <c r="F8" s="4" t="s">
        <v>33</v>
      </c>
    </row>
    <row r="9" spans="1:8" x14ac:dyDescent="0.2">
      <c r="A9" s="8">
        <v>0.69127314814814811</v>
      </c>
      <c r="B9" s="6">
        <v>5.3007809999999997</v>
      </c>
      <c r="C9" s="4">
        <v>819</v>
      </c>
      <c r="D9" s="4" t="s">
        <v>33</v>
      </c>
      <c r="E9" s="4" t="s">
        <v>33</v>
      </c>
      <c r="F9" s="4" t="s">
        <v>33</v>
      </c>
    </row>
    <row r="10" spans="1:8" x14ac:dyDescent="0.2">
      <c r="A10" s="8">
        <v>0.69128472222222226</v>
      </c>
      <c r="B10" s="6">
        <v>5.828125</v>
      </c>
      <c r="C10" s="4">
        <v>817</v>
      </c>
      <c r="D10" s="4" t="s">
        <v>37</v>
      </c>
      <c r="E10" s="9">
        <v>0.48</v>
      </c>
      <c r="F10" s="4" t="s">
        <v>25</v>
      </c>
    </row>
    <row r="11" spans="1:8" x14ac:dyDescent="0.2">
      <c r="A11" s="8">
        <v>0.69128472222222226</v>
      </c>
      <c r="B11" s="6">
        <v>6.3398440000000003</v>
      </c>
      <c r="C11" s="4">
        <v>818</v>
      </c>
      <c r="D11" s="4" t="s">
        <v>33</v>
      </c>
      <c r="E11" s="4" t="s">
        <v>33</v>
      </c>
      <c r="F11" s="4" t="s">
        <v>23</v>
      </c>
    </row>
    <row r="12" spans="1:8" x14ac:dyDescent="0.2">
      <c r="A12" s="8">
        <v>0.6912962962962963</v>
      </c>
      <c r="B12" s="6">
        <v>6.8398440000000003</v>
      </c>
      <c r="C12" s="4">
        <v>817</v>
      </c>
      <c r="D12" s="4" t="s">
        <v>33</v>
      </c>
      <c r="E12" s="9" t="s">
        <v>23</v>
      </c>
      <c r="F12" s="4" t="s">
        <v>33</v>
      </c>
    </row>
    <row r="13" spans="1:8" x14ac:dyDescent="0.2">
      <c r="A13" s="8">
        <v>0.6912962962962963</v>
      </c>
      <c r="B13" s="6">
        <v>7.3476559999999997</v>
      </c>
      <c r="C13" s="4">
        <v>816</v>
      </c>
      <c r="D13" s="4" t="s">
        <v>33</v>
      </c>
      <c r="E13" s="4" t="s">
        <v>33</v>
      </c>
      <c r="F13" s="4" t="s">
        <v>33</v>
      </c>
    </row>
    <row r="14" spans="1:8" x14ac:dyDescent="0.2">
      <c r="A14" s="8">
        <v>0.69130787037037034</v>
      </c>
      <c r="B14" s="6">
        <v>7.8398440000000003</v>
      </c>
      <c r="C14" s="4">
        <v>815</v>
      </c>
      <c r="D14" s="4" t="s">
        <v>33</v>
      </c>
      <c r="E14" s="4" t="s">
        <v>33</v>
      </c>
      <c r="F14" s="4" t="s">
        <v>33</v>
      </c>
    </row>
    <row r="15" spans="1:8" x14ac:dyDescent="0.2">
      <c r="A15" s="8">
        <v>0.69130787037037034</v>
      </c>
      <c r="B15" s="6">
        <v>8.3710939999999994</v>
      </c>
      <c r="C15" s="4">
        <v>815</v>
      </c>
      <c r="D15" s="4" t="s">
        <v>37</v>
      </c>
      <c r="E15" s="9">
        <v>0.48</v>
      </c>
      <c r="F15" s="4" t="s">
        <v>34</v>
      </c>
    </row>
    <row r="16" spans="1:8" x14ac:dyDescent="0.2">
      <c r="A16" s="8">
        <v>0.69131944444444449</v>
      </c>
      <c r="B16" s="6">
        <v>8.8789060000000006</v>
      </c>
      <c r="C16" s="4">
        <v>818</v>
      </c>
      <c r="D16" s="4" t="s">
        <v>33</v>
      </c>
      <c r="E16" s="4" t="s">
        <v>33</v>
      </c>
      <c r="F16" s="4" t="s">
        <v>33</v>
      </c>
    </row>
    <row r="17" spans="1:6" x14ac:dyDescent="0.2">
      <c r="A17" s="8">
        <v>0.69131944444444449</v>
      </c>
      <c r="B17" s="6">
        <v>9.3828130000000005</v>
      </c>
      <c r="C17" s="4">
        <v>817</v>
      </c>
      <c r="D17" s="4" t="s">
        <v>33</v>
      </c>
      <c r="E17" s="9" t="s">
        <v>23</v>
      </c>
      <c r="F17" s="4" t="s">
        <v>33</v>
      </c>
    </row>
    <row r="18" spans="1:6" x14ac:dyDescent="0.2">
      <c r="A18" s="8">
        <v>0.69133101851851853</v>
      </c>
      <c r="B18" s="6">
        <v>9.8828130000000005</v>
      </c>
      <c r="C18" s="4">
        <v>815</v>
      </c>
      <c r="D18" s="4" t="s">
        <v>33</v>
      </c>
      <c r="E18" s="4" t="s">
        <v>33</v>
      </c>
      <c r="F18" s="4" t="s">
        <v>33</v>
      </c>
    </row>
    <row r="19" spans="1:6" x14ac:dyDescent="0.2">
      <c r="A19" s="8">
        <v>0.69133101851851853</v>
      </c>
      <c r="B19" s="6">
        <v>10.378909999999999</v>
      </c>
      <c r="C19" s="4">
        <v>816</v>
      </c>
      <c r="D19" s="4" t="s">
        <v>33</v>
      </c>
      <c r="E19" s="4" t="s">
        <v>33</v>
      </c>
      <c r="F19" s="4" t="s">
        <v>33</v>
      </c>
    </row>
    <row r="20" spans="1:6" x14ac:dyDescent="0.2">
      <c r="A20" s="8">
        <v>0.69134259259259256</v>
      </c>
      <c r="B20" s="6">
        <v>10.910159999999999</v>
      </c>
      <c r="C20" s="4">
        <v>819</v>
      </c>
      <c r="D20" s="4" t="s">
        <v>37</v>
      </c>
      <c r="E20" s="9">
        <v>0.48</v>
      </c>
      <c r="F20" s="4" t="s">
        <v>34</v>
      </c>
    </row>
    <row r="21" spans="1:6" x14ac:dyDescent="0.2">
      <c r="A21" s="8">
        <v>0.69134259259259256</v>
      </c>
      <c r="B21" s="6">
        <v>11.42578</v>
      </c>
      <c r="C21" s="4">
        <v>816</v>
      </c>
      <c r="D21" s="4" t="s">
        <v>33</v>
      </c>
      <c r="E21" s="4" t="s">
        <v>33</v>
      </c>
      <c r="F21" s="4" t="s">
        <v>33</v>
      </c>
    </row>
    <row r="22" spans="1:6" x14ac:dyDescent="0.2">
      <c r="A22" s="8"/>
      <c r="E22" s="9"/>
    </row>
    <row r="23" spans="1:6" x14ac:dyDescent="0.2">
      <c r="A23" s="8"/>
    </row>
    <row r="24" spans="1:6" x14ac:dyDescent="0.2">
      <c r="A24" s="8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0D8DD-4DE0-447A-8713-4E7AF304A9CE}">
  <dimension ref="A1:H21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0.69243055555555555</v>
      </c>
      <c r="B2" s="6">
        <v>1.792969</v>
      </c>
      <c r="C2" s="4">
        <v>845</v>
      </c>
      <c r="D2" s="4" t="s">
        <v>33</v>
      </c>
      <c r="E2" s="4" t="s">
        <v>33</v>
      </c>
      <c r="F2" s="4" t="s">
        <v>33</v>
      </c>
      <c r="H2">
        <f>AVERAGE(C2:C21)</f>
        <v>836</v>
      </c>
    </row>
    <row r="3" spans="1:8" x14ac:dyDescent="0.2">
      <c r="A3" s="8">
        <v>0.69243055555555555</v>
      </c>
      <c r="B3" s="6">
        <v>2.265625</v>
      </c>
      <c r="C3" s="4">
        <v>844</v>
      </c>
      <c r="D3" s="4" t="s">
        <v>33</v>
      </c>
      <c r="E3" s="4" t="s">
        <v>33</v>
      </c>
      <c r="F3" s="4" t="s">
        <v>33</v>
      </c>
      <c r="H3">
        <f>91*(1023-H2)/H2</f>
        <v>20.355263157894736</v>
      </c>
    </row>
    <row r="4" spans="1:8" x14ac:dyDescent="0.2">
      <c r="A4" s="8">
        <v>0.69244212962962959</v>
      </c>
      <c r="B4" s="6">
        <v>2.7617189999999998</v>
      </c>
      <c r="C4" s="4">
        <v>840</v>
      </c>
      <c r="D4" s="4" t="s">
        <v>33</v>
      </c>
      <c r="E4" s="4" t="s">
        <v>33</v>
      </c>
      <c r="F4" s="4" t="s">
        <v>33</v>
      </c>
    </row>
    <row r="5" spans="1:8" x14ac:dyDescent="0.2">
      <c r="A5" s="8">
        <v>0.69244212962962959</v>
      </c>
      <c r="B5" s="6">
        <v>3.2929689999999998</v>
      </c>
      <c r="C5" s="4">
        <v>841</v>
      </c>
      <c r="D5" s="4" t="s">
        <v>37</v>
      </c>
      <c r="E5" s="9">
        <v>0.48</v>
      </c>
      <c r="F5" s="4" t="s">
        <v>34</v>
      </c>
    </row>
    <row r="6" spans="1:8" x14ac:dyDescent="0.2">
      <c r="A6" s="8">
        <v>0.69245370370370374</v>
      </c>
      <c r="B6" s="6">
        <v>3.8125</v>
      </c>
      <c r="C6" s="4">
        <v>840</v>
      </c>
      <c r="D6" s="4" t="s">
        <v>33</v>
      </c>
      <c r="E6" s="4" t="s">
        <v>33</v>
      </c>
      <c r="F6" s="4" t="s">
        <v>33</v>
      </c>
    </row>
    <row r="7" spans="1:8" x14ac:dyDescent="0.2">
      <c r="A7" s="8">
        <v>0.69245370370370374</v>
      </c>
      <c r="B7" s="6">
        <v>4.3125</v>
      </c>
      <c r="C7" s="4">
        <v>837</v>
      </c>
      <c r="D7" s="4" t="s">
        <v>33</v>
      </c>
      <c r="E7" s="4" t="s">
        <v>33</v>
      </c>
      <c r="F7" s="4" t="s">
        <v>33</v>
      </c>
    </row>
    <row r="8" spans="1:8" x14ac:dyDescent="0.2">
      <c r="A8" s="8">
        <v>0.69246527777777778</v>
      </c>
      <c r="B8" s="6">
        <v>4.8085940000000003</v>
      </c>
      <c r="C8" s="4">
        <v>838</v>
      </c>
      <c r="D8" s="4" t="s">
        <v>33</v>
      </c>
      <c r="E8" s="4" t="s">
        <v>33</v>
      </c>
      <c r="F8" s="4" t="s">
        <v>33</v>
      </c>
    </row>
    <row r="9" spans="1:8" x14ac:dyDescent="0.2">
      <c r="A9" s="8">
        <v>0.69246527777777778</v>
      </c>
      <c r="B9" s="6">
        <v>5.3125</v>
      </c>
      <c r="C9" s="4">
        <v>835</v>
      </c>
      <c r="D9" s="4" t="s">
        <v>33</v>
      </c>
      <c r="E9" s="4" t="s">
        <v>33</v>
      </c>
      <c r="F9" s="4" t="s">
        <v>33</v>
      </c>
    </row>
    <row r="10" spans="1:8" x14ac:dyDescent="0.2">
      <c r="A10" s="8">
        <v>0.69247685185185182</v>
      </c>
      <c r="B10" s="6">
        <v>5.8359379999999996</v>
      </c>
      <c r="C10" s="4">
        <v>836</v>
      </c>
      <c r="D10" s="4" t="s">
        <v>37</v>
      </c>
      <c r="E10" s="9">
        <v>0.48</v>
      </c>
      <c r="F10" s="4" t="s">
        <v>34</v>
      </c>
    </row>
    <row r="11" spans="1:8" x14ac:dyDescent="0.2">
      <c r="A11" s="8">
        <v>0.69247685185185182</v>
      </c>
      <c r="B11" s="6">
        <v>6.3515629999999996</v>
      </c>
      <c r="C11" s="4">
        <v>835</v>
      </c>
      <c r="D11" s="4" t="s">
        <v>33</v>
      </c>
      <c r="E11" s="4" t="s">
        <v>33</v>
      </c>
      <c r="F11" s="4" t="s">
        <v>33</v>
      </c>
    </row>
    <row r="12" spans="1:8" x14ac:dyDescent="0.2">
      <c r="A12" s="8">
        <v>0.69248842592592597</v>
      </c>
      <c r="B12" s="6">
        <v>6.8515629999999996</v>
      </c>
      <c r="C12" s="4">
        <v>835</v>
      </c>
      <c r="D12" s="4" t="s">
        <v>33</v>
      </c>
      <c r="E12" s="4" t="s">
        <v>33</v>
      </c>
      <c r="F12" s="4" t="s">
        <v>33</v>
      </c>
    </row>
    <row r="13" spans="1:8" x14ac:dyDescent="0.2">
      <c r="A13" s="8">
        <v>0.69248842592592597</v>
      </c>
      <c r="B13" s="6">
        <v>7.3515629999999996</v>
      </c>
      <c r="C13" s="4">
        <v>833</v>
      </c>
      <c r="D13" s="4" t="s">
        <v>33</v>
      </c>
      <c r="E13" s="4" t="s">
        <v>33</v>
      </c>
      <c r="F13" s="4" t="s">
        <v>33</v>
      </c>
    </row>
    <row r="14" spans="1:8" x14ac:dyDescent="0.2">
      <c r="A14" s="8">
        <v>0.6925</v>
      </c>
      <c r="B14" s="6">
        <v>7.859375</v>
      </c>
      <c r="C14" s="4">
        <v>835</v>
      </c>
      <c r="D14" s="4" t="s">
        <v>33</v>
      </c>
      <c r="E14" s="4" t="s">
        <v>33</v>
      </c>
      <c r="F14" s="4" t="s">
        <v>33</v>
      </c>
    </row>
    <row r="15" spans="1:8" x14ac:dyDescent="0.2">
      <c r="A15" s="8">
        <v>0.6925</v>
      </c>
      <c r="B15" s="6">
        <v>8.3828130000000005</v>
      </c>
      <c r="C15" s="4">
        <v>832</v>
      </c>
      <c r="D15" s="4" t="s">
        <v>37</v>
      </c>
      <c r="E15" s="9">
        <v>0.48</v>
      </c>
      <c r="F15" s="4" t="s">
        <v>34</v>
      </c>
    </row>
    <row r="16" spans="1:8" x14ac:dyDescent="0.2">
      <c r="A16" s="8">
        <v>0.69251157407407404</v>
      </c>
      <c r="B16" s="6">
        <v>8.8945310000000006</v>
      </c>
      <c r="C16" s="4">
        <v>834</v>
      </c>
      <c r="D16" s="4" t="s">
        <v>33</v>
      </c>
      <c r="E16" s="4" t="s">
        <v>33</v>
      </c>
      <c r="F16" s="4" t="s">
        <v>33</v>
      </c>
    </row>
    <row r="17" spans="1:6" x14ac:dyDescent="0.2">
      <c r="A17" s="8">
        <v>0.69251157407407404</v>
      </c>
      <c r="B17" s="6">
        <v>9.3984380000000005</v>
      </c>
      <c r="C17" s="4">
        <v>835</v>
      </c>
      <c r="D17" s="4" t="s">
        <v>33</v>
      </c>
      <c r="E17" s="4" t="s">
        <v>33</v>
      </c>
      <c r="F17" s="4" t="s">
        <v>33</v>
      </c>
    </row>
    <row r="18" spans="1:6" x14ac:dyDescent="0.2">
      <c r="A18" s="8">
        <v>0.69252314814814819</v>
      </c>
      <c r="B18" s="6">
        <v>9.8984380000000005</v>
      </c>
      <c r="C18" s="4">
        <v>833</v>
      </c>
      <c r="D18" s="4" t="s">
        <v>33</v>
      </c>
      <c r="E18" s="4" t="s">
        <v>33</v>
      </c>
      <c r="F18" s="4" t="s">
        <v>33</v>
      </c>
    </row>
    <row r="19" spans="1:6" x14ac:dyDescent="0.2">
      <c r="A19" s="8">
        <v>0.69252314814814819</v>
      </c>
      <c r="B19" s="6">
        <v>10.398440000000001</v>
      </c>
      <c r="C19" s="4">
        <v>831</v>
      </c>
      <c r="D19" s="4" t="s">
        <v>33</v>
      </c>
      <c r="E19" s="4" t="s">
        <v>33</v>
      </c>
      <c r="F19" s="4" t="s">
        <v>33</v>
      </c>
    </row>
    <row r="20" spans="1:6" x14ac:dyDescent="0.2">
      <c r="A20" s="8">
        <v>0.69253472222222223</v>
      </c>
      <c r="B20" s="6">
        <v>10.92578</v>
      </c>
      <c r="C20" s="4">
        <v>831</v>
      </c>
      <c r="D20" s="4" t="s">
        <v>37</v>
      </c>
      <c r="E20" s="9">
        <v>0.48</v>
      </c>
      <c r="F20" s="4" t="s">
        <v>25</v>
      </c>
    </row>
    <row r="21" spans="1:6" x14ac:dyDescent="0.2">
      <c r="A21" s="8">
        <v>0.69254629629629627</v>
      </c>
      <c r="B21" s="6">
        <v>11.441409999999999</v>
      </c>
      <c r="C21" s="4">
        <v>830</v>
      </c>
      <c r="D21" s="4" t="s">
        <v>33</v>
      </c>
      <c r="E21" s="4" t="s">
        <v>33</v>
      </c>
      <c r="F21" s="4" t="s">
        <v>23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1ACF7-DC2E-45D9-948D-41F91B3EB08F}">
  <dimension ref="A1:H21"/>
  <sheetViews>
    <sheetView workbookViewId="0">
      <selection activeCell="A2" sqref="A2:F21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/>
      <c r="H2" t="e">
        <f>AVERAGE(C2:C21)</f>
        <v>#DIV/0!</v>
      </c>
    </row>
    <row r="3" spans="1:8" x14ac:dyDescent="0.2">
      <c r="A3" s="8"/>
      <c r="H3" t="e">
        <f>91*(1023-H2)/H2</f>
        <v>#DIV/0!</v>
      </c>
    </row>
    <row r="4" spans="1:8" x14ac:dyDescent="0.2">
      <c r="A4" s="8"/>
    </row>
    <row r="5" spans="1:8" x14ac:dyDescent="0.2">
      <c r="A5" s="8"/>
      <c r="E5" s="9"/>
    </row>
    <row r="6" spans="1:8" x14ac:dyDescent="0.2">
      <c r="A6" s="8"/>
    </row>
    <row r="7" spans="1:8" x14ac:dyDescent="0.2">
      <c r="A7" s="8"/>
    </row>
    <row r="8" spans="1:8" x14ac:dyDescent="0.2">
      <c r="A8" s="8"/>
    </row>
    <row r="9" spans="1:8" x14ac:dyDescent="0.2">
      <c r="A9" s="8"/>
    </row>
    <row r="10" spans="1:8" x14ac:dyDescent="0.2">
      <c r="A10" s="8"/>
      <c r="E10" s="9"/>
    </row>
    <row r="11" spans="1:8" x14ac:dyDescent="0.2">
      <c r="A11" s="8"/>
    </row>
    <row r="12" spans="1:8" x14ac:dyDescent="0.2">
      <c r="A12" s="8"/>
    </row>
    <row r="13" spans="1:8" x14ac:dyDescent="0.2">
      <c r="A13" s="8"/>
    </row>
    <row r="14" spans="1:8" x14ac:dyDescent="0.2">
      <c r="A14" s="8"/>
    </row>
    <row r="15" spans="1:8" x14ac:dyDescent="0.2">
      <c r="A15" s="8"/>
      <c r="E15" s="9"/>
    </row>
    <row r="16" spans="1:8" x14ac:dyDescent="0.2">
      <c r="A16" s="8"/>
    </row>
    <row r="17" spans="1:5" x14ac:dyDescent="0.2">
      <c r="A17" s="8"/>
    </row>
    <row r="18" spans="1:5" x14ac:dyDescent="0.2">
      <c r="A18" s="8"/>
    </row>
    <row r="19" spans="1:5" x14ac:dyDescent="0.2">
      <c r="A19" s="8"/>
    </row>
    <row r="20" spans="1:5" x14ac:dyDescent="0.2">
      <c r="A20" s="8"/>
      <c r="E20" s="9"/>
    </row>
    <row r="21" spans="1:5" x14ac:dyDescent="0.2">
      <c r="A21" s="8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CDA34-C808-43C9-95A2-46378E67F89A}">
  <dimension ref="A1:H36"/>
  <sheetViews>
    <sheetView workbookViewId="0">
      <selection activeCell="A2" sqref="A2:F21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/>
      <c r="H2" t="e">
        <f>AVERAGE(C2:C21)</f>
        <v>#DIV/0!</v>
      </c>
    </row>
    <row r="3" spans="1:8" x14ac:dyDescent="0.2">
      <c r="A3" s="8"/>
      <c r="H3" t="e">
        <f>91*(1023-H2)/H2</f>
        <v>#DIV/0!</v>
      </c>
    </row>
    <row r="4" spans="1:8" x14ac:dyDescent="0.2">
      <c r="A4" s="8"/>
    </row>
    <row r="5" spans="1:8" x14ac:dyDescent="0.2">
      <c r="A5" s="8"/>
    </row>
    <row r="6" spans="1:8" x14ac:dyDescent="0.2">
      <c r="A6" s="8"/>
    </row>
    <row r="7" spans="1:8" x14ac:dyDescent="0.2">
      <c r="A7" s="8"/>
    </row>
    <row r="8" spans="1:8" x14ac:dyDescent="0.2">
      <c r="A8" s="8"/>
    </row>
    <row r="9" spans="1:8" x14ac:dyDescent="0.2">
      <c r="A9" s="8"/>
    </row>
    <row r="10" spans="1:8" x14ac:dyDescent="0.2">
      <c r="A10" s="8"/>
    </row>
    <row r="11" spans="1:8" x14ac:dyDescent="0.2">
      <c r="A11" s="8"/>
      <c r="E11" s="9"/>
    </row>
    <row r="12" spans="1:8" x14ac:dyDescent="0.2">
      <c r="A12" s="8"/>
    </row>
    <row r="13" spans="1:8" x14ac:dyDescent="0.2">
      <c r="A13" s="8"/>
    </row>
    <row r="14" spans="1:8" x14ac:dyDescent="0.2">
      <c r="A14" s="8"/>
    </row>
    <row r="15" spans="1:8" x14ac:dyDescent="0.2">
      <c r="A15" s="8"/>
    </row>
    <row r="16" spans="1:8" x14ac:dyDescent="0.2">
      <c r="A16" s="8"/>
      <c r="E16" s="9"/>
    </row>
    <row r="17" spans="1:5" x14ac:dyDescent="0.2">
      <c r="A17" s="8"/>
    </row>
    <row r="18" spans="1:5" x14ac:dyDescent="0.2">
      <c r="A18" s="8"/>
    </row>
    <row r="19" spans="1:5" x14ac:dyDescent="0.2">
      <c r="A19" s="8"/>
    </row>
    <row r="20" spans="1:5" x14ac:dyDescent="0.2">
      <c r="A20" s="8"/>
    </row>
    <row r="21" spans="1:5" x14ac:dyDescent="0.2">
      <c r="A21" s="8"/>
    </row>
    <row r="22" spans="1:5" x14ac:dyDescent="0.2">
      <c r="A22" s="8"/>
    </row>
    <row r="23" spans="1:5" x14ac:dyDescent="0.2">
      <c r="A23" s="8"/>
    </row>
    <row r="24" spans="1:5" x14ac:dyDescent="0.2">
      <c r="A24" s="8"/>
      <c r="E24" s="9"/>
    </row>
    <row r="25" spans="1:5" x14ac:dyDescent="0.2">
      <c r="A25" s="8"/>
    </row>
    <row r="26" spans="1:5" x14ac:dyDescent="0.2">
      <c r="A26" s="8"/>
    </row>
    <row r="27" spans="1:5" x14ac:dyDescent="0.2">
      <c r="A27" s="8"/>
    </row>
    <row r="28" spans="1:5" x14ac:dyDescent="0.2">
      <c r="A28" s="8"/>
    </row>
    <row r="29" spans="1:5" x14ac:dyDescent="0.2">
      <c r="A29" s="8"/>
      <c r="E29" s="9"/>
    </row>
    <row r="30" spans="1:5" x14ac:dyDescent="0.2">
      <c r="A30" s="8"/>
    </row>
    <row r="31" spans="1:5" x14ac:dyDescent="0.2">
      <c r="A31" s="8"/>
    </row>
    <row r="32" spans="1:5" x14ac:dyDescent="0.2">
      <c r="A32" s="8"/>
    </row>
    <row r="33" spans="1:5" x14ac:dyDescent="0.2">
      <c r="A33" s="8"/>
    </row>
    <row r="34" spans="1:5" x14ac:dyDescent="0.2">
      <c r="A34" s="8"/>
      <c r="E34" s="9"/>
    </row>
    <row r="35" spans="1:5" x14ac:dyDescent="0.2">
      <c r="A35" s="8"/>
    </row>
    <row r="36" spans="1:5" x14ac:dyDescent="0.2">
      <c r="A36" s="8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20D-539E-4D53-B8B1-856D1DB1354C}">
  <dimension ref="A1:H33"/>
  <sheetViews>
    <sheetView workbookViewId="0">
      <selection activeCell="A2" sqref="A2:F21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/>
      <c r="H2" t="e">
        <f>AVERAGE(C2:C21)</f>
        <v>#DIV/0!</v>
      </c>
    </row>
    <row r="3" spans="1:8" x14ac:dyDescent="0.2">
      <c r="A3" s="8"/>
      <c r="H3" t="e">
        <f>91*(1023-H2)/H2</f>
        <v>#DIV/0!</v>
      </c>
    </row>
    <row r="4" spans="1:8" x14ac:dyDescent="0.2">
      <c r="A4" s="8"/>
    </row>
    <row r="5" spans="1:8" x14ac:dyDescent="0.2">
      <c r="A5" s="8"/>
      <c r="E5" s="9"/>
    </row>
    <row r="6" spans="1:8" x14ac:dyDescent="0.2">
      <c r="A6" s="8"/>
    </row>
    <row r="7" spans="1:8" x14ac:dyDescent="0.2">
      <c r="A7" s="8"/>
    </row>
    <row r="8" spans="1:8" x14ac:dyDescent="0.2">
      <c r="A8" s="8"/>
    </row>
    <row r="9" spans="1:8" x14ac:dyDescent="0.2">
      <c r="A9" s="8"/>
    </row>
    <row r="10" spans="1:8" x14ac:dyDescent="0.2">
      <c r="A10" s="8"/>
      <c r="E10" s="9"/>
    </row>
    <row r="11" spans="1:8" x14ac:dyDescent="0.2">
      <c r="A11" s="8"/>
    </row>
    <row r="12" spans="1:8" x14ac:dyDescent="0.2">
      <c r="A12" s="8"/>
    </row>
    <row r="13" spans="1:8" x14ac:dyDescent="0.2">
      <c r="A13" s="8"/>
    </row>
    <row r="14" spans="1:8" x14ac:dyDescent="0.2">
      <c r="A14" s="8"/>
    </row>
    <row r="15" spans="1:8" x14ac:dyDescent="0.2">
      <c r="A15" s="8"/>
    </row>
    <row r="16" spans="1:8" x14ac:dyDescent="0.2">
      <c r="A16" s="8"/>
    </row>
    <row r="17" spans="1:5" x14ac:dyDescent="0.2">
      <c r="A17" s="8"/>
      <c r="E17" s="9"/>
    </row>
    <row r="18" spans="1:5" x14ac:dyDescent="0.2">
      <c r="A18" s="8"/>
    </row>
    <row r="19" spans="1:5" x14ac:dyDescent="0.2">
      <c r="A19" s="8"/>
    </row>
    <row r="20" spans="1:5" x14ac:dyDescent="0.2">
      <c r="A20" s="8"/>
    </row>
    <row r="21" spans="1:5" x14ac:dyDescent="0.2">
      <c r="A21" s="8"/>
    </row>
    <row r="22" spans="1:5" x14ac:dyDescent="0.2">
      <c r="A22" s="8"/>
      <c r="E22" s="9"/>
    </row>
    <row r="23" spans="1:5" x14ac:dyDescent="0.2">
      <c r="A23" s="8"/>
    </row>
    <row r="24" spans="1:5" x14ac:dyDescent="0.2">
      <c r="A24" s="8"/>
    </row>
    <row r="25" spans="1:5" x14ac:dyDescent="0.2">
      <c r="A25" s="8"/>
    </row>
    <row r="26" spans="1:5" x14ac:dyDescent="0.2">
      <c r="A26" s="8"/>
    </row>
    <row r="27" spans="1:5" x14ac:dyDescent="0.2">
      <c r="A27" s="8"/>
      <c r="E27" s="9"/>
    </row>
    <row r="28" spans="1:5" x14ac:dyDescent="0.2">
      <c r="A28" s="8"/>
    </row>
    <row r="29" spans="1:5" x14ac:dyDescent="0.2">
      <c r="A29" s="8"/>
    </row>
    <row r="30" spans="1:5" x14ac:dyDescent="0.2">
      <c r="A30" s="8"/>
    </row>
    <row r="31" spans="1:5" x14ac:dyDescent="0.2">
      <c r="A31" s="8"/>
    </row>
    <row r="32" spans="1:5" x14ac:dyDescent="0.2">
      <c r="A32" s="8"/>
      <c r="E32" s="9"/>
    </row>
    <row r="33" spans="1:1" x14ac:dyDescent="0.2">
      <c r="A33" s="8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D0F11-79EE-463E-954B-2A9F4982B172}">
  <dimension ref="A1:H21"/>
  <sheetViews>
    <sheetView workbookViewId="0">
      <selection activeCell="A2" sqref="A2:F21"/>
    </sheetView>
  </sheetViews>
  <sheetFormatPr defaultRowHeight="12.75" x14ac:dyDescent="0.2"/>
  <cols>
    <col min="1" max="1" width="12.5703125" style="4" bestFit="1" customWidth="1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/>
      <c r="H2" t="e">
        <f>AVERAGE(C2:C21)</f>
        <v>#DIV/0!</v>
      </c>
    </row>
    <row r="3" spans="1:8" x14ac:dyDescent="0.2">
      <c r="A3" s="8"/>
      <c r="H3" t="e">
        <f>91*(1023-H2)/H2</f>
        <v>#DIV/0!</v>
      </c>
    </row>
    <row r="4" spans="1:8" x14ac:dyDescent="0.2">
      <c r="A4" s="8"/>
    </row>
    <row r="5" spans="1:8" x14ac:dyDescent="0.2">
      <c r="A5" s="8"/>
      <c r="E5" s="9"/>
    </row>
    <row r="6" spans="1:8" x14ac:dyDescent="0.2">
      <c r="A6" s="8"/>
    </row>
    <row r="7" spans="1:8" x14ac:dyDescent="0.2">
      <c r="A7" s="8"/>
    </row>
    <row r="8" spans="1:8" x14ac:dyDescent="0.2">
      <c r="A8" s="8"/>
    </row>
    <row r="9" spans="1:8" x14ac:dyDescent="0.2">
      <c r="A9" s="8"/>
    </row>
    <row r="10" spans="1:8" x14ac:dyDescent="0.2">
      <c r="A10" s="8"/>
      <c r="E10" s="9"/>
    </row>
    <row r="11" spans="1:8" x14ac:dyDescent="0.2">
      <c r="A11" s="8"/>
    </row>
    <row r="12" spans="1:8" x14ac:dyDescent="0.2">
      <c r="A12" s="8"/>
    </row>
    <row r="13" spans="1:8" x14ac:dyDescent="0.2">
      <c r="A13" s="8"/>
    </row>
    <row r="14" spans="1:8" x14ac:dyDescent="0.2">
      <c r="A14" s="8"/>
    </row>
    <row r="15" spans="1:8" x14ac:dyDescent="0.2">
      <c r="A15" s="8"/>
    </row>
    <row r="16" spans="1:8" x14ac:dyDescent="0.2">
      <c r="A16" s="8"/>
    </row>
    <row r="17" spans="1:5" x14ac:dyDescent="0.2">
      <c r="A17" s="8"/>
    </row>
    <row r="18" spans="1:5" x14ac:dyDescent="0.2">
      <c r="A18" s="8"/>
      <c r="E18" s="9"/>
    </row>
    <row r="19" spans="1:5" x14ac:dyDescent="0.2">
      <c r="A19" s="8"/>
    </row>
    <row r="20" spans="1:5" x14ac:dyDescent="0.2">
      <c r="A20" s="8"/>
    </row>
    <row r="21" spans="1:5" x14ac:dyDescent="0.2">
      <c r="A21" s="8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DE7D6-D5EA-4DF0-A60D-9B788FB6C0B2}">
  <dimension ref="A1:H46"/>
  <sheetViews>
    <sheetView workbookViewId="0">
      <selection activeCell="A2" sqref="A2:F21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/>
      <c r="H2" t="e">
        <f>AVERAGE(C2:C21)</f>
        <v>#DIV/0!</v>
      </c>
    </row>
    <row r="3" spans="1:8" x14ac:dyDescent="0.2">
      <c r="A3" s="8"/>
      <c r="H3" t="e">
        <f>91*(1023-H2)/H2</f>
        <v>#DIV/0!</v>
      </c>
    </row>
    <row r="4" spans="1:8" x14ac:dyDescent="0.2">
      <c r="A4" s="8"/>
    </row>
    <row r="5" spans="1:8" x14ac:dyDescent="0.2">
      <c r="A5" s="8"/>
    </row>
    <row r="6" spans="1:8" x14ac:dyDescent="0.2">
      <c r="A6" s="8"/>
    </row>
    <row r="7" spans="1:8" x14ac:dyDescent="0.2">
      <c r="A7" s="8"/>
    </row>
    <row r="8" spans="1:8" x14ac:dyDescent="0.2">
      <c r="A8" s="8"/>
      <c r="E8" s="9"/>
    </row>
    <row r="9" spans="1:8" x14ac:dyDescent="0.2">
      <c r="A9" s="8"/>
    </row>
    <row r="10" spans="1:8" x14ac:dyDescent="0.2">
      <c r="A10" s="8"/>
    </row>
    <row r="11" spans="1:8" x14ac:dyDescent="0.2">
      <c r="A11" s="8"/>
    </row>
    <row r="12" spans="1:8" x14ac:dyDescent="0.2">
      <c r="A12" s="8"/>
    </row>
    <row r="13" spans="1:8" x14ac:dyDescent="0.2">
      <c r="A13" s="8"/>
      <c r="E13" s="9"/>
    </row>
    <row r="14" spans="1:8" x14ac:dyDescent="0.2">
      <c r="A14" s="8"/>
    </row>
    <row r="15" spans="1:8" x14ac:dyDescent="0.2">
      <c r="A15" s="8"/>
    </row>
    <row r="16" spans="1:8" x14ac:dyDescent="0.2">
      <c r="A16" s="8"/>
    </row>
    <row r="17" spans="1:5" x14ac:dyDescent="0.2">
      <c r="A17" s="8"/>
    </row>
    <row r="18" spans="1:5" x14ac:dyDescent="0.2">
      <c r="A18" s="8"/>
      <c r="E18" s="9"/>
    </row>
    <row r="19" spans="1:5" x14ac:dyDescent="0.2">
      <c r="A19" s="8"/>
    </row>
    <row r="20" spans="1:5" x14ac:dyDescent="0.2">
      <c r="A20" s="8"/>
    </row>
    <row r="21" spans="1:5" x14ac:dyDescent="0.2">
      <c r="A21" s="8"/>
    </row>
    <row r="22" spans="1:5" x14ac:dyDescent="0.2">
      <c r="A22" s="8"/>
    </row>
    <row r="23" spans="1:5" x14ac:dyDescent="0.2">
      <c r="A23" s="8"/>
      <c r="E23" s="9"/>
    </row>
    <row r="24" spans="1:5" x14ac:dyDescent="0.2">
      <c r="A24" s="8"/>
    </row>
    <row r="25" spans="1:5" x14ac:dyDescent="0.2">
      <c r="A25" s="8"/>
    </row>
    <row r="26" spans="1:5" x14ac:dyDescent="0.2">
      <c r="A26" s="8"/>
    </row>
    <row r="27" spans="1:5" x14ac:dyDescent="0.2">
      <c r="A27" s="8"/>
    </row>
    <row r="28" spans="1:5" x14ac:dyDescent="0.2">
      <c r="A28" s="8"/>
      <c r="E28" s="9"/>
    </row>
    <row r="29" spans="1:5" x14ac:dyDescent="0.2">
      <c r="A29" s="8"/>
    </row>
    <row r="30" spans="1:5" x14ac:dyDescent="0.2">
      <c r="A30" s="8"/>
    </row>
    <row r="31" spans="1:5" x14ac:dyDescent="0.2">
      <c r="A31" s="8"/>
    </row>
    <row r="32" spans="1:5" x14ac:dyDescent="0.2">
      <c r="A32" s="8"/>
    </row>
    <row r="33" spans="1:5" x14ac:dyDescent="0.2">
      <c r="A33" s="8"/>
    </row>
    <row r="34" spans="1:5" x14ac:dyDescent="0.2">
      <c r="A34" s="8"/>
    </row>
    <row r="35" spans="1:5" x14ac:dyDescent="0.2">
      <c r="A35" s="8"/>
    </row>
    <row r="36" spans="1:5" x14ac:dyDescent="0.2">
      <c r="A36" s="8"/>
      <c r="E36" s="9"/>
    </row>
    <row r="37" spans="1:5" x14ac:dyDescent="0.2">
      <c r="A37" s="8"/>
    </row>
    <row r="38" spans="1:5" x14ac:dyDescent="0.2">
      <c r="A38" s="8"/>
    </row>
    <row r="39" spans="1:5" x14ac:dyDescent="0.2">
      <c r="A39" s="8"/>
    </row>
    <row r="40" spans="1:5" x14ac:dyDescent="0.2">
      <c r="A40" s="8"/>
    </row>
    <row r="41" spans="1:5" x14ac:dyDescent="0.2">
      <c r="A41" s="8"/>
    </row>
    <row r="42" spans="1:5" x14ac:dyDescent="0.2">
      <c r="A42" s="8"/>
    </row>
    <row r="43" spans="1:5" x14ac:dyDescent="0.2">
      <c r="A43" s="8"/>
    </row>
    <row r="44" spans="1:5" x14ac:dyDescent="0.2">
      <c r="A44" s="8"/>
      <c r="E44" s="9"/>
    </row>
    <row r="45" spans="1:5" x14ac:dyDescent="0.2">
      <c r="A45" s="8"/>
    </row>
    <row r="46" spans="1:5" x14ac:dyDescent="0.2">
      <c r="A46" s="8"/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7D45B-818A-4BF6-9DF8-D7EDCC928E50}">
  <dimension ref="A1:H25"/>
  <sheetViews>
    <sheetView workbookViewId="0">
      <selection activeCell="M11" sqref="M11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17</v>
      </c>
      <c r="B1" s="7" t="s">
        <v>18</v>
      </c>
      <c r="C1" s="5" t="s">
        <v>19</v>
      </c>
      <c r="D1" s="5" t="s">
        <v>20</v>
      </c>
      <c r="E1" s="5" t="s">
        <v>21</v>
      </c>
      <c r="F1" s="5" t="s">
        <v>22</v>
      </c>
    </row>
    <row r="2" spans="1:8" x14ac:dyDescent="0.2">
      <c r="A2" s="8"/>
      <c r="H2" t="e">
        <f>AVERAGE(C2:C21)</f>
        <v>#DIV/0!</v>
      </c>
    </row>
    <row r="3" spans="1:8" x14ac:dyDescent="0.2">
      <c r="A3" s="8"/>
      <c r="H3" t="e">
        <f>91*(1023-H2)/H2</f>
        <v>#DIV/0!</v>
      </c>
    </row>
    <row r="4" spans="1:8" x14ac:dyDescent="0.2">
      <c r="A4" s="8"/>
    </row>
    <row r="5" spans="1:8" x14ac:dyDescent="0.2">
      <c r="A5" s="8"/>
      <c r="E5" s="9"/>
    </row>
    <row r="6" spans="1:8" x14ac:dyDescent="0.2">
      <c r="A6" s="8"/>
    </row>
    <row r="7" spans="1:8" x14ac:dyDescent="0.2">
      <c r="A7" s="8"/>
    </row>
    <row r="8" spans="1:8" x14ac:dyDescent="0.2">
      <c r="A8" s="8"/>
    </row>
    <row r="9" spans="1:8" x14ac:dyDescent="0.2">
      <c r="A9" s="8"/>
    </row>
    <row r="10" spans="1:8" x14ac:dyDescent="0.2">
      <c r="A10" s="8"/>
      <c r="E10" s="9"/>
    </row>
    <row r="11" spans="1:8" x14ac:dyDescent="0.2">
      <c r="A11" s="8"/>
    </row>
    <row r="12" spans="1:8" x14ac:dyDescent="0.2">
      <c r="A12" s="8"/>
    </row>
    <row r="13" spans="1:8" x14ac:dyDescent="0.2">
      <c r="A13" s="8"/>
    </row>
    <row r="14" spans="1:8" x14ac:dyDescent="0.2">
      <c r="A14" s="8"/>
    </row>
    <row r="15" spans="1:8" x14ac:dyDescent="0.2">
      <c r="A15" s="8"/>
    </row>
    <row r="16" spans="1:8" x14ac:dyDescent="0.2">
      <c r="A16" s="8"/>
    </row>
    <row r="17" spans="1:5" x14ac:dyDescent="0.2">
      <c r="A17" s="8"/>
    </row>
    <row r="18" spans="1:5" x14ac:dyDescent="0.2">
      <c r="A18" s="8"/>
      <c r="E18" s="9"/>
    </row>
    <row r="19" spans="1:5" x14ac:dyDescent="0.2">
      <c r="A19" s="8"/>
    </row>
    <row r="20" spans="1:5" x14ac:dyDescent="0.2">
      <c r="A20" s="8"/>
    </row>
    <row r="21" spans="1:5" x14ac:dyDescent="0.2">
      <c r="A21" s="8"/>
    </row>
    <row r="22" spans="1:5" x14ac:dyDescent="0.2">
      <c r="A22" s="8"/>
    </row>
    <row r="23" spans="1:5" x14ac:dyDescent="0.2">
      <c r="A23" s="8"/>
    </row>
    <row r="24" spans="1:5" x14ac:dyDescent="0.2">
      <c r="A24" s="8"/>
    </row>
    <row r="25" spans="1:5" x14ac:dyDescent="0.2">
      <c r="A25" s="8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2" t="s">
        <v>3</v>
      </c>
      <c r="F3" s="13"/>
    </row>
    <row r="4" spans="2:13" ht="12.75" customHeight="1" x14ac:dyDescent="0.2">
      <c r="B4" s="1" t="s">
        <v>1</v>
      </c>
      <c r="C4" s="3">
        <v>9600</v>
      </c>
      <c r="E4" s="14"/>
      <c r="F4" s="15"/>
    </row>
    <row r="5" spans="2:13" ht="12.75" customHeight="1" x14ac:dyDescent="0.2">
      <c r="B5" s="1" t="s">
        <v>2</v>
      </c>
      <c r="C5" s="2" t="b">
        <v>1</v>
      </c>
      <c r="E5" s="14"/>
      <c r="F5" s="15"/>
    </row>
    <row r="6" spans="2:13" ht="12.75" customHeight="1" x14ac:dyDescent="0.2">
      <c r="B6" s="1" t="s">
        <v>5</v>
      </c>
      <c r="C6" s="2" t="b">
        <v>0</v>
      </c>
      <c r="E6" s="14"/>
      <c r="F6" s="15"/>
    </row>
    <row r="7" spans="2:13" ht="12.75" customHeight="1" x14ac:dyDescent="0.2">
      <c r="B7" s="1" t="s">
        <v>6</v>
      </c>
      <c r="C7" s="2" t="b">
        <v>0</v>
      </c>
      <c r="E7" s="14"/>
      <c r="F7" s="15"/>
      <c r="M7" s="1"/>
    </row>
    <row r="8" spans="2:13" ht="12.75" customHeight="1" x14ac:dyDescent="0.2">
      <c r="B8" s="1" t="s">
        <v>7</v>
      </c>
      <c r="C8" s="2" t="b">
        <v>0</v>
      </c>
      <c r="E8" s="14"/>
      <c r="F8" s="15"/>
      <c r="L8" s="1"/>
      <c r="M8" s="1"/>
    </row>
    <row r="9" spans="2:13" ht="12.75" customHeight="1" x14ac:dyDescent="0.2">
      <c r="B9" s="1" t="s">
        <v>4</v>
      </c>
      <c r="C9" s="3" t="s">
        <v>38</v>
      </c>
      <c r="E9" s="14"/>
      <c r="F9" s="15"/>
      <c r="M9" s="1"/>
    </row>
    <row r="10" spans="2:13" ht="13.5" customHeight="1" x14ac:dyDescent="0.2">
      <c r="B10" s="1" t="s">
        <v>9</v>
      </c>
      <c r="C10" s="2" t="b">
        <v>1</v>
      </c>
      <c r="E10" s="14"/>
      <c r="F10" s="15"/>
    </row>
    <row r="11" spans="2:13" ht="13.5" customHeight="1" x14ac:dyDescent="0.2">
      <c r="B11" s="1" t="s">
        <v>8</v>
      </c>
      <c r="C11" s="2" t="b">
        <v>1</v>
      </c>
      <c r="E11" s="14"/>
      <c r="F11" s="15"/>
    </row>
    <row r="12" spans="2:13" ht="12.75" customHeight="1" x14ac:dyDescent="0.2">
      <c r="B12" s="1" t="s">
        <v>10</v>
      </c>
      <c r="C12" s="2" t="b">
        <v>1</v>
      </c>
      <c r="E12" s="14"/>
      <c r="F12" s="15"/>
    </row>
    <row r="13" spans="2:13" ht="12.75" customHeight="1" x14ac:dyDescent="0.2">
      <c r="B13" s="1" t="s">
        <v>11</v>
      </c>
      <c r="C13" s="2" t="b">
        <v>1</v>
      </c>
      <c r="E13" s="14"/>
      <c r="F13" s="15"/>
    </row>
    <row r="14" spans="2:13" ht="13.5" customHeight="1" x14ac:dyDescent="0.2">
      <c r="B14" s="1" t="s">
        <v>12</v>
      </c>
      <c r="C14" s="2">
        <v>689</v>
      </c>
      <c r="E14" s="14"/>
      <c r="F14" s="15"/>
    </row>
    <row r="15" spans="2:13" x14ac:dyDescent="0.2">
      <c r="B15" s="1" t="s">
        <v>13</v>
      </c>
      <c r="C15" s="3">
        <v>1024</v>
      </c>
      <c r="E15" s="14"/>
      <c r="F15" s="15"/>
    </row>
    <row r="16" spans="2:13" x14ac:dyDescent="0.2">
      <c r="B16" s="1" t="s">
        <v>14</v>
      </c>
      <c r="C16" s="3">
        <v>1024</v>
      </c>
      <c r="E16" s="14"/>
      <c r="F16" s="15"/>
    </row>
    <row r="17" spans="2:6" x14ac:dyDescent="0.2">
      <c r="B17" s="1" t="s">
        <v>15</v>
      </c>
      <c r="C17" s="3">
        <v>1024</v>
      </c>
      <c r="E17" s="14"/>
      <c r="F17" s="15"/>
    </row>
    <row r="18" spans="2:6" ht="13.5" thickBot="1" x14ac:dyDescent="0.25">
      <c r="B18" s="1" t="s">
        <v>16</v>
      </c>
      <c r="C18" s="3">
        <v>64</v>
      </c>
      <c r="E18" s="16"/>
      <c r="F18" s="17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溫度</vt:lpstr>
      <vt:lpstr>標準</vt:lpstr>
      <vt:lpstr>小30</vt:lpstr>
      <vt:lpstr>小40</vt:lpstr>
      <vt:lpstr>小50</vt:lpstr>
      <vt:lpstr>小60</vt:lpstr>
      <vt:lpstr>小70</vt:lpstr>
      <vt:lpstr>小80</vt:lpstr>
      <vt:lpstr>A2</vt:lpstr>
      <vt:lpstr>B2</vt:lpstr>
      <vt:lpstr>A3</vt:lpstr>
      <vt:lpstr>B3</vt:lpstr>
      <vt:lpstr>A4</vt:lpstr>
      <vt:lpstr>B4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2026-09-22T09:05:53Z</dcterms:modified>
</cp:coreProperties>
</file>