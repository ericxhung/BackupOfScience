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2062E4D4-A0F6-4899-AB23-C84C83CF571B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溫度" sheetId="36" r:id="rId1"/>
    <sheet name="去離子空白" sheetId="37" r:id="rId2"/>
    <sheet name="降溫30" sheetId="38" r:id="rId3"/>
    <sheet name="降溫40" sheetId="39" r:id="rId4"/>
    <sheet name="降溫50" sheetId="40" r:id="rId5"/>
    <sheet name="降溫60" sheetId="41" r:id="rId6"/>
    <sheet name="降溫70" sheetId="42" r:id="rId7"/>
    <sheet name="降溫80" sheetId="43" r:id="rId8"/>
    <sheet name="升溫30" sheetId="44" r:id="rId9"/>
    <sheet name="升溫40" sheetId="45" r:id="rId10"/>
    <sheet name="升溫50" sheetId="46" r:id="rId11"/>
    <sheet name="升溫60" sheetId="47" r:id="rId12"/>
    <sheet name="升溫70" sheetId="48" r:id="rId13"/>
    <sheet name="升溫80" sheetId="49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37" l="1"/>
  <c r="I3" i="6"/>
  <c r="I2" i="6"/>
  <c r="I3" i="49"/>
  <c r="I2" i="49"/>
  <c r="I3" i="48"/>
  <c r="I2" i="48"/>
  <c r="I3" i="47"/>
  <c r="I2" i="47"/>
  <c r="I3" i="46"/>
  <c r="I2" i="46"/>
  <c r="I3" i="45"/>
  <c r="I2" i="45"/>
  <c r="I3" i="44"/>
  <c r="I2" i="44"/>
  <c r="I3" i="43"/>
  <c r="I2" i="43"/>
  <c r="I3" i="42"/>
  <c r="I2" i="42"/>
  <c r="I3" i="41"/>
  <c r="I2" i="41"/>
  <c r="I3" i="40"/>
  <c r="I2" i="40"/>
  <c r="I3" i="39"/>
  <c r="I2" i="39"/>
  <c r="I3" i="38"/>
  <c r="I2" i="38"/>
  <c r="I3" i="37"/>
</calcChain>
</file>

<file path=xl/sharedStrings.xml><?xml version="1.0" encoding="utf-8"?>
<sst xmlns="http://schemas.openxmlformats.org/spreadsheetml/2006/main" count="846" uniqueCount="37">
  <si>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</si>
  <si>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</si>
  <si>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</si>
  <si>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</si>
  <si>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</si>
  <si>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</si>
  <si>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</si>
  <si>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</si>
  <si>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</si>
  <si>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</si>
  <si>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</si>
  <si>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</si>
  <si>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</si>
  <si>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</si>
  <si>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</si>
  <si>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</si>
  <si>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</si>
  <si>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</si>
  <si>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</si>
  <si>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</si>
  <si>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</si>
  <si>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</si>
  <si>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</si>
  <si>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</si>
  <si>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</si>
  <si>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Error</t>
  </si>
  <si>
    <t>29.00 C</t>
  </si>
  <si>
    <t>NULL</t>
  </si>
  <si>
    <t>28.00 C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</si>
  <si>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</si>
  <si>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</si>
  <si>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</si>
  <si>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</si>
  <si>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</si>
  <si>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</si>
  <si>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</si>
  <si>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升溫80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</si>
</sst>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F10" sqref="F1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46314</v>
      </c>
      <c r="B2" s="9">
        <v>0.54912037037037043</v>
      </c>
      <c r="C2" s="6">
        <v>1.859375</v>
      </c>
      <c r="D2" s="4">
        <v>0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46314</v>
      </c>
      <c r="B3" s="9">
        <v>0.54912037037037043</v>
      </c>
      <c r="C3" s="6">
        <v>2.265625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46314</v>
      </c>
      <c r="B4" s="9">
        <v>0.54913194444444446</v>
      </c>
      <c r="C4" s="6">
        <v>2.765625</v>
      </c>
      <c r="D4" s="4">
        <v>0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46314</v>
      </c>
      <c r="B5" s="9">
        <v>0.5491435185185185</v>
      </c>
      <c r="C5" s="6">
        <v>3.796875</v>
      </c>
      <c r="D5" s="4">
        <v>0</v>
      </c>
      <c r="E5" s="4" t="s">
        <v>25</v>
      </c>
      <c r="F5" s="4" t="s">
        <v>25</v>
      </c>
      <c r="G5" s="4">
        <v>-237</v>
      </c>
    </row>
    <row r="6" spans="1:7" x14ac:dyDescent="0.2">
      <c r="A6" s="8">
        <v>46314</v>
      </c>
      <c r="B6" s="9">
        <v>0.54915509259259254</v>
      </c>
      <c r="C6" s="6">
        <v>4.3164059999999997</v>
      </c>
      <c r="D6" s="4">
        <v>4</v>
      </c>
      <c r="E6" s="4" t="s">
        <v>25</v>
      </c>
      <c r="F6" s="4" t="s">
        <v>25</v>
      </c>
      <c r="G6" s="4">
        <v>3088</v>
      </c>
    </row>
    <row r="7" spans="1:7" x14ac:dyDescent="0.2">
      <c r="A7" s="8">
        <v>46314</v>
      </c>
      <c r="B7" s="9">
        <v>0.54915509259259254</v>
      </c>
      <c r="C7" s="6">
        <v>4.8476559999999997</v>
      </c>
      <c r="D7" s="4">
        <v>0</v>
      </c>
      <c r="E7" s="4" t="s">
        <v>25</v>
      </c>
      <c r="F7" s="4" t="s">
        <v>25</v>
      </c>
      <c r="G7" s="4">
        <v>21</v>
      </c>
    </row>
    <row r="8" spans="1:7" x14ac:dyDescent="0.2">
      <c r="A8" s="8">
        <v>46314</v>
      </c>
      <c r="B8" s="9">
        <v>0.54916666666666669</v>
      </c>
      <c r="C8" s="6">
        <v>5.3789059999999997</v>
      </c>
      <c r="D8" s="4">
        <v>0</v>
      </c>
      <c r="E8" s="4" t="s">
        <v>25</v>
      </c>
      <c r="F8" s="4" t="s">
        <v>25</v>
      </c>
      <c r="G8" s="4">
        <v>4112</v>
      </c>
    </row>
    <row r="9" spans="1:7" x14ac:dyDescent="0.2">
      <c r="A9" s="8">
        <v>46314</v>
      </c>
      <c r="B9" s="9">
        <v>0.54916666666666669</v>
      </c>
      <c r="C9" s="6">
        <v>5.8945309999999997</v>
      </c>
      <c r="D9" s="4">
        <v>1</v>
      </c>
      <c r="E9" s="4" t="s">
        <v>25</v>
      </c>
      <c r="F9" s="4" t="s">
        <v>25</v>
      </c>
      <c r="G9" s="4">
        <v>4112</v>
      </c>
    </row>
    <row r="10" spans="1:7" x14ac:dyDescent="0.2">
      <c r="A10" s="8">
        <v>46314</v>
      </c>
      <c r="B10" s="9">
        <v>0.54917824074074073</v>
      </c>
      <c r="C10" s="6">
        <v>6.4414059999999997</v>
      </c>
      <c r="D10" s="4">
        <v>4</v>
      </c>
      <c r="E10" s="4" t="s">
        <v>26</v>
      </c>
      <c r="F10" s="10">
        <v>0.63</v>
      </c>
      <c r="G10" s="4" t="s">
        <v>27</v>
      </c>
    </row>
    <row r="11" spans="1:7" x14ac:dyDescent="0.2">
      <c r="A11" s="8">
        <v>46314</v>
      </c>
      <c r="B11" s="9">
        <v>0.54917824074074073</v>
      </c>
      <c r="C11" s="6">
        <v>6.9570309999999997</v>
      </c>
      <c r="D11" s="4">
        <v>1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46314</v>
      </c>
      <c r="B12" s="9">
        <v>0.54918981481481477</v>
      </c>
      <c r="C12" s="6">
        <v>7.4570309999999997</v>
      </c>
      <c r="D12" s="4">
        <v>2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46314</v>
      </c>
      <c r="B13" s="9">
        <v>0.54918981481481477</v>
      </c>
      <c r="C13" s="6">
        <v>7.9570309999999997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46314</v>
      </c>
      <c r="B14" s="9">
        <v>0.54920138888888892</v>
      </c>
      <c r="C14" s="6">
        <v>8.4570310000000006</v>
      </c>
      <c r="D14" s="4">
        <v>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46314</v>
      </c>
      <c r="B15" s="9">
        <v>0.54920138888888892</v>
      </c>
      <c r="C15" s="6">
        <v>8.9882810000000006</v>
      </c>
      <c r="D15" s="4">
        <v>5</v>
      </c>
      <c r="E15" s="4" t="s">
        <v>26</v>
      </c>
      <c r="F15" s="10">
        <v>0.63</v>
      </c>
      <c r="G15" s="4" t="s">
        <v>27</v>
      </c>
    </row>
    <row r="16" spans="1:7" x14ac:dyDescent="0.2">
      <c r="A16" s="8">
        <v>46314</v>
      </c>
      <c r="B16" s="9">
        <v>0.54921296296296296</v>
      </c>
      <c r="C16" s="6">
        <v>9.5039060000000006</v>
      </c>
      <c r="D16" s="4">
        <v>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0.54921296296296296</v>
      </c>
      <c r="C17" s="6">
        <v>10.003909999999999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0.549224537037037</v>
      </c>
      <c r="C18" s="6">
        <v>10.503909999999999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0.549224537037037</v>
      </c>
      <c r="C19" s="6">
        <v>11.003909999999999</v>
      </c>
      <c r="D19" s="4">
        <v>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0.54923611111111115</v>
      </c>
      <c r="C20" s="6">
        <v>11.51563</v>
      </c>
      <c r="D20" s="4">
        <v>0</v>
      </c>
      <c r="E20" s="4" t="s">
        <v>26</v>
      </c>
      <c r="F20" s="10">
        <v>0.63</v>
      </c>
      <c r="G20" s="4" t="s">
        <v>27</v>
      </c>
    </row>
    <row r="21" spans="1:7" x14ac:dyDescent="0.2">
      <c r="A21" s="8">
        <v>46314</v>
      </c>
      <c r="B21" s="9">
        <v>0.54923611111111115</v>
      </c>
      <c r="C21" s="6">
        <v>12.035159999999999</v>
      </c>
      <c r="D21" s="4">
        <v>1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1406B-9118-4A85-97BC-13E71648A6EC}">
  <dimension ref="A1:I22"/>
  <sheetViews>
    <sheetView tabSelected="1"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0.54965277777777777</v>
      </c>
      <c r="C2" s="6">
        <v>1.792969</v>
      </c>
      <c r="D2" s="4">
        <v>613</v>
      </c>
      <c r="E2" s="4" t="s">
        <v>24</v>
      </c>
      <c r="F2" s="4" t="s">
        <v>24</v>
      </c>
      <c r="G2" s="4" t="s">
        <v>24</v>
      </c>
      <c r="I2">
        <f>AVERAGE(D2:D21)</f>
        <v>611.29999999999995</v>
      </c>
    </row>
    <row r="3" spans="1:9" x14ac:dyDescent="0.2">
      <c r="A3" s="8">
        <v>46314</v>
      </c>
      <c r="B3" s="9">
        <v>0.54966435185185181</v>
      </c>
      <c r="C3" s="6">
        <v>2.2773439999999998</v>
      </c>
      <c r="D3" s="4">
        <v>608</v>
      </c>
      <c r="E3" s="4" t="s">
        <v>24</v>
      </c>
      <c r="F3" s="4" t="s">
        <v>24</v>
      </c>
      <c r="G3" s="4" t="s">
        <v>24</v>
      </c>
      <c r="I3">
        <f>91*(1023-I2)/I2</f>
        <v>61.286929494519889</v>
      </c>
    </row>
    <row r="4" spans="1:9" x14ac:dyDescent="0.2">
      <c r="A4" s="8">
        <v>46314</v>
      </c>
      <c r="B4" s="9">
        <v>0.54966435185185181</v>
      </c>
      <c r="C4" s="6">
        <v>2.7773439999999998</v>
      </c>
      <c r="D4" s="4">
        <v>610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0.54967592592592596</v>
      </c>
      <c r="C5" s="6">
        <v>3.2773439999999998</v>
      </c>
      <c r="D5" s="4">
        <v>613</v>
      </c>
      <c r="E5" s="4" t="s">
        <v>25</v>
      </c>
      <c r="F5" s="4" t="s">
        <v>25</v>
      </c>
      <c r="G5" s="4">
        <v>3088</v>
      </c>
    </row>
    <row r="6" spans="1:9" x14ac:dyDescent="0.2">
      <c r="A6" s="8">
        <v>46314</v>
      </c>
      <c r="B6" s="9">
        <v>0.54967592592592596</v>
      </c>
      <c r="C6" s="6">
        <v>3.8085939999999998</v>
      </c>
      <c r="D6" s="4">
        <v>609</v>
      </c>
      <c r="E6" s="4" t="s">
        <v>25</v>
      </c>
      <c r="F6" s="4" t="s">
        <v>25</v>
      </c>
      <c r="G6" s="4">
        <v>4112</v>
      </c>
    </row>
    <row r="7" spans="1:9" x14ac:dyDescent="0.2">
      <c r="A7" s="8">
        <v>46314</v>
      </c>
      <c r="B7" s="9">
        <v>0.5496875</v>
      </c>
      <c r="C7" s="6">
        <v>4.3242190000000003</v>
      </c>
      <c r="D7" s="4">
        <v>609</v>
      </c>
      <c r="E7" s="4" t="s">
        <v>25</v>
      </c>
      <c r="F7" s="4" t="s">
        <v>25</v>
      </c>
      <c r="G7" s="4">
        <v>4112</v>
      </c>
    </row>
    <row r="8" spans="1:9" x14ac:dyDescent="0.2">
      <c r="A8" s="8">
        <v>46314</v>
      </c>
      <c r="B8" s="9">
        <v>0.5496875</v>
      </c>
      <c r="C8" s="6">
        <v>4.8398440000000003</v>
      </c>
      <c r="D8" s="4">
        <v>613</v>
      </c>
      <c r="E8" s="4" t="s">
        <v>25</v>
      </c>
      <c r="F8" s="4" t="s">
        <v>25</v>
      </c>
      <c r="G8" s="4">
        <v>4112</v>
      </c>
    </row>
    <row r="9" spans="1:9" x14ac:dyDescent="0.2">
      <c r="A9" s="8">
        <v>46314</v>
      </c>
      <c r="B9" s="9">
        <v>0.54969907407407403</v>
      </c>
      <c r="C9" s="6">
        <v>5.3710940000000003</v>
      </c>
      <c r="D9" s="4">
        <v>612</v>
      </c>
      <c r="E9" s="4" t="s">
        <v>25</v>
      </c>
      <c r="F9" s="4" t="s">
        <v>25</v>
      </c>
      <c r="G9" s="4">
        <v>4112</v>
      </c>
    </row>
    <row r="10" spans="1:9" x14ac:dyDescent="0.2">
      <c r="A10" s="8">
        <v>46314</v>
      </c>
      <c r="B10" s="9">
        <v>0.54971064814814818</v>
      </c>
      <c r="C10" s="6">
        <v>5.8867190000000003</v>
      </c>
      <c r="D10" s="4">
        <v>609</v>
      </c>
      <c r="E10" s="4" t="s">
        <v>25</v>
      </c>
      <c r="F10" s="4" t="s">
        <v>25</v>
      </c>
      <c r="G10" s="4">
        <v>4112</v>
      </c>
    </row>
    <row r="11" spans="1:9" x14ac:dyDescent="0.2">
      <c r="A11" s="8">
        <v>46314</v>
      </c>
      <c r="B11" s="9">
        <v>0.54971064814814818</v>
      </c>
      <c r="C11" s="6">
        <v>6.4023440000000003</v>
      </c>
      <c r="D11" s="4">
        <v>614</v>
      </c>
      <c r="E11" s="4" t="s">
        <v>25</v>
      </c>
      <c r="F11" s="4" t="s">
        <v>25</v>
      </c>
      <c r="G11" s="4">
        <v>3088</v>
      </c>
    </row>
    <row r="12" spans="1:9" x14ac:dyDescent="0.2">
      <c r="A12" s="8">
        <v>46314</v>
      </c>
      <c r="B12" s="9">
        <v>0.54972222222222222</v>
      </c>
      <c r="C12" s="6">
        <v>6.9335940000000003</v>
      </c>
      <c r="D12" s="4">
        <v>614</v>
      </c>
      <c r="E12" s="4" t="s">
        <v>25</v>
      </c>
      <c r="F12" s="4" t="s">
        <v>25</v>
      </c>
      <c r="G12" s="4">
        <v>4112</v>
      </c>
    </row>
    <row r="13" spans="1:9" x14ac:dyDescent="0.2">
      <c r="A13" s="8">
        <v>46314</v>
      </c>
      <c r="B13" s="9">
        <v>0.54972222222222222</v>
      </c>
      <c r="C13" s="6">
        <v>7.4492190000000003</v>
      </c>
      <c r="D13" s="4">
        <v>610</v>
      </c>
      <c r="E13" s="4" t="s">
        <v>25</v>
      </c>
      <c r="F13" s="4" t="s">
        <v>25</v>
      </c>
      <c r="G13" s="4">
        <v>3088</v>
      </c>
    </row>
    <row r="14" spans="1:9" x14ac:dyDescent="0.2">
      <c r="A14" s="8">
        <v>46314</v>
      </c>
      <c r="B14" s="9">
        <v>0.54973379629629626</v>
      </c>
      <c r="C14" s="6">
        <v>7.9648440000000003</v>
      </c>
      <c r="D14" s="4">
        <v>613</v>
      </c>
      <c r="E14" s="4" t="s">
        <v>25</v>
      </c>
      <c r="F14" s="4" t="s">
        <v>25</v>
      </c>
      <c r="G14" s="4">
        <v>4112</v>
      </c>
    </row>
    <row r="15" spans="1:9" x14ac:dyDescent="0.2">
      <c r="A15" s="8">
        <v>46314</v>
      </c>
      <c r="B15" s="9">
        <v>0.54973379629629626</v>
      </c>
      <c r="C15" s="6">
        <v>8.4960939999999994</v>
      </c>
      <c r="D15" s="4">
        <v>615</v>
      </c>
      <c r="E15" s="4" t="s">
        <v>25</v>
      </c>
      <c r="F15" s="4" t="s">
        <v>25</v>
      </c>
      <c r="G15" s="4">
        <v>3088</v>
      </c>
    </row>
    <row r="16" spans="1:9" x14ac:dyDescent="0.2">
      <c r="A16" s="8">
        <v>46314</v>
      </c>
      <c r="B16" s="9">
        <v>0.54974537037037041</v>
      </c>
      <c r="C16" s="6">
        <v>9.0117189999999994</v>
      </c>
      <c r="D16" s="4">
        <v>608</v>
      </c>
      <c r="E16" s="4" t="s">
        <v>25</v>
      </c>
      <c r="F16" s="4" t="s">
        <v>25</v>
      </c>
      <c r="G16" s="4">
        <v>3088</v>
      </c>
    </row>
    <row r="17" spans="1:7" x14ac:dyDescent="0.2">
      <c r="A17" s="8">
        <v>46314</v>
      </c>
      <c r="B17" s="9">
        <v>0.54974537037037041</v>
      </c>
      <c r="C17" s="6">
        <v>9.5273439999999994</v>
      </c>
      <c r="D17" s="4">
        <v>614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0.54975694444444445</v>
      </c>
      <c r="C18" s="6">
        <v>10.058590000000001</v>
      </c>
      <c r="D18" s="4">
        <v>615</v>
      </c>
      <c r="E18" s="4" t="s">
        <v>25</v>
      </c>
      <c r="F18" s="4" t="s">
        <v>25</v>
      </c>
      <c r="G18" s="4">
        <v>4112</v>
      </c>
    </row>
    <row r="19" spans="1:7" x14ac:dyDescent="0.2">
      <c r="A19" s="8">
        <v>46314</v>
      </c>
      <c r="B19" s="9">
        <v>0.54975694444444445</v>
      </c>
      <c r="C19" s="6">
        <v>10.57422</v>
      </c>
      <c r="D19" s="4">
        <v>607</v>
      </c>
      <c r="E19" s="4" t="s">
        <v>25</v>
      </c>
      <c r="F19" s="4" t="s">
        <v>25</v>
      </c>
      <c r="G19" s="4">
        <v>3088</v>
      </c>
    </row>
    <row r="20" spans="1:7" x14ac:dyDescent="0.2">
      <c r="A20" s="8">
        <v>46314</v>
      </c>
      <c r="B20" s="9">
        <v>0.54976851851851849</v>
      </c>
      <c r="C20" s="6">
        <v>11.089840000000001</v>
      </c>
      <c r="D20" s="4">
        <v>608</v>
      </c>
      <c r="E20" s="4" t="s">
        <v>25</v>
      </c>
      <c r="F20" s="4" t="s">
        <v>25</v>
      </c>
      <c r="G20" s="4">
        <v>4112</v>
      </c>
    </row>
    <row r="21" spans="1:7" x14ac:dyDescent="0.2">
      <c r="A21" s="8">
        <v>46314</v>
      </c>
      <c r="B21" s="9">
        <v>0.54976851851851849</v>
      </c>
      <c r="C21" s="6">
        <v>11.621090000000001</v>
      </c>
      <c r="D21" s="4">
        <v>612</v>
      </c>
      <c r="E21" s="4" t="s">
        <v>25</v>
      </c>
      <c r="F21" s="4" t="s">
        <v>25</v>
      </c>
      <c r="G21" s="4">
        <v>4112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E3FA5-89C1-443B-BEF1-C99DC21D0812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0.55309027777777775</v>
      </c>
      <c r="C2" s="6">
        <v>1.792969</v>
      </c>
      <c r="D2" s="4">
        <v>642</v>
      </c>
      <c r="E2" s="4" t="s">
        <v>24</v>
      </c>
      <c r="F2" s="4" t="s">
        <v>24</v>
      </c>
      <c r="G2" s="4" t="s">
        <v>24</v>
      </c>
      <c r="I2">
        <f>AVERAGE(D2:D21)</f>
        <v>635.85</v>
      </c>
    </row>
    <row r="3" spans="1:9" x14ac:dyDescent="0.2">
      <c r="A3" s="8">
        <v>46314</v>
      </c>
      <c r="B3" s="9">
        <v>0.55309027777777775</v>
      </c>
      <c r="C3" s="6">
        <v>2.2773439999999998</v>
      </c>
      <c r="D3" s="4">
        <v>640</v>
      </c>
      <c r="E3" s="4" t="s">
        <v>24</v>
      </c>
      <c r="F3" s="4" t="s">
        <v>24</v>
      </c>
      <c r="G3" s="4" t="s">
        <v>24</v>
      </c>
      <c r="I3">
        <f>91*(1023-I2)/I2</f>
        <v>55.407171502712906</v>
      </c>
    </row>
    <row r="4" spans="1:9" x14ac:dyDescent="0.2">
      <c r="A4" s="8">
        <v>46314</v>
      </c>
      <c r="B4" s="9">
        <v>0.5531018518518519</v>
      </c>
      <c r="C4" s="6">
        <v>2.7773439999999998</v>
      </c>
      <c r="D4" s="4">
        <v>638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0.5531018518518519</v>
      </c>
      <c r="C5" s="6">
        <v>3.2929689999999998</v>
      </c>
      <c r="D5" s="4">
        <v>642</v>
      </c>
      <c r="E5" s="4" t="s">
        <v>28</v>
      </c>
      <c r="F5" s="10">
        <v>0.6</v>
      </c>
      <c r="G5" s="4" t="s">
        <v>27</v>
      </c>
    </row>
    <row r="6" spans="1:9" x14ac:dyDescent="0.2">
      <c r="A6" s="8">
        <v>46314</v>
      </c>
      <c r="B6" s="9">
        <v>0.55311342592592594</v>
      </c>
      <c r="C6" s="6">
        <v>3.8242189999999998</v>
      </c>
      <c r="D6" s="4">
        <v>636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0.55311342592592594</v>
      </c>
      <c r="C7" s="6">
        <v>4.3242190000000003</v>
      </c>
      <c r="D7" s="4">
        <v>640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0.55312499999999998</v>
      </c>
      <c r="C8" s="6">
        <v>4.8203129999999996</v>
      </c>
      <c r="D8" s="4">
        <v>639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0.55312499999999998</v>
      </c>
      <c r="C9" s="6">
        <v>5.3203129999999996</v>
      </c>
      <c r="D9" s="4">
        <v>635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0.55313657407407413</v>
      </c>
      <c r="C10" s="6">
        <v>5.8359379999999996</v>
      </c>
      <c r="D10" s="4">
        <v>636</v>
      </c>
      <c r="E10" s="4" t="s">
        <v>28</v>
      </c>
      <c r="F10" s="10">
        <v>0.6</v>
      </c>
      <c r="G10" s="4" t="s">
        <v>27</v>
      </c>
    </row>
    <row r="11" spans="1:9" x14ac:dyDescent="0.2">
      <c r="A11" s="8">
        <v>46314</v>
      </c>
      <c r="B11" s="9">
        <v>0.55313657407407413</v>
      </c>
      <c r="C11" s="6">
        <v>6.3515629999999996</v>
      </c>
      <c r="D11" s="4">
        <v>634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0.55314814814814817</v>
      </c>
      <c r="C12" s="6">
        <v>6.8515629999999996</v>
      </c>
      <c r="D12" s="4">
        <v>636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0.55314814814814817</v>
      </c>
      <c r="C13" s="6">
        <v>7.3515629999999996</v>
      </c>
      <c r="D13" s="4">
        <v>635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0.55315972222222221</v>
      </c>
      <c r="C14" s="6">
        <v>7.8671879999999996</v>
      </c>
      <c r="D14" s="4">
        <v>633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0.55315972222222221</v>
      </c>
      <c r="C15" s="6">
        <v>8.3671880000000005</v>
      </c>
      <c r="D15" s="4">
        <v>632</v>
      </c>
      <c r="E15" s="4" t="s">
        <v>25</v>
      </c>
      <c r="F15" s="4" t="s">
        <v>25</v>
      </c>
      <c r="G15" s="4">
        <v>21</v>
      </c>
    </row>
    <row r="16" spans="1:9" x14ac:dyDescent="0.2">
      <c r="A16" s="8">
        <v>46314</v>
      </c>
      <c r="B16" s="9">
        <v>0.55317129629629624</v>
      </c>
      <c r="C16" s="6">
        <v>8.8984380000000005</v>
      </c>
      <c r="D16" s="4">
        <v>632</v>
      </c>
      <c r="E16" s="4" t="s">
        <v>25</v>
      </c>
      <c r="F16" s="4" t="s">
        <v>25</v>
      </c>
      <c r="G16" s="4">
        <v>3088</v>
      </c>
    </row>
    <row r="17" spans="1:7" x14ac:dyDescent="0.2">
      <c r="A17" s="8">
        <v>46314</v>
      </c>
      <c r="B17" s="9">
        <v>0.55317129629629624</v>
      </c>
      <c r="C17" s="6">
        <v>9.4296880000000005</v>
      </c>
      <c r="D17" s="4">
        <v>634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0.55318287037037039</v>
      </c>
      <c r="C18" s="6">
        <v>9.9609380000000005</v>
      </c>
      <c r="D18" s="4">
        <v>636</v>
      </c>
      <c r="E18" s="4" t="s">
        <v>28</v>
      </c>
      <c r="F18" s="10">
        <v>0.6</v>
      </c>
      <c r="G18" s="4" t="s">
        <v>27</v>
      </c>
    </row>
    <row r="19" spans="1:7" x14ac:dyDescent="0.2">
      <c r="A19" s="8">
        <v>46314</v>
      </c>
      <c r="B19" s="9">
        <v>0.55318287037037039</v>
      </c>
      <c r="C19" s="6">
        <v>10.476559999999999</v>
      </c>
      <c r="D19" s="4">
        <v>636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0.55319444444444443</v>
      </c>
      <c r="C20" s="6">
        <v>10.976559999999999</v>
      </c>
      <c r="D20" s="4">
        <v>630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46314</v>
      </c>
      <c r="B21" s="9">
        <v>0.55319444444444443</v>
      </c>
      <c r="C21" s="6">
        <v>11.476559999999999</v>
      </c>
      <c r="D21" s="4">
        <v>631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93E2F-A2D1-44CB-A22C-5EC544DE794E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0.55395833333333333</v>
      </c>
      <c r="C2" s="6">
        <v>1.800781</v>
      </c>
      <c r="D2" s="4">
        <v>647</v>
      </c>
      <c r="E2" s="4" t="s">
        <v>24</v>
      </c>
      <c r="F2" s="4" t="s">
        <v>24</v>
      </c>
      <c r="G2" s="4" t="s">
        <v>24</v>
      </c>
      <c r="I2">
        <f>AVERAGE(D2:D21)</f>
        <v>666.4</v>
      </c>
    </row>
    <row r="3" spans="1:9" x14ac:dyDescent="0.2">
      <c r="A3" s="8">
        <v>46314</v>
      </c>
      <c r="B3" s="9">
        <v>0.55395833333333333</v>
      </c>
      <c r="C3" s="6">
        <v>2.2851560000000002</v>
      </c>
      <c r="D3" s="4">
        <v>648</v>
      </c>
      <c r="E3" s="4" t="s">
        <v>24</v>
      </c>
      <c r="F3" s="4" t="s">
        <v>24</v>
      </c>
      <c r="G3" s="4" t="s">
        <v>24</v>
      </c>
      <c r="I3">
        <f>91*(1023-I2)/I2</f>
        <v>48.695378151260506</v>
      </c>
    </row>
    <row r="4" spans="1:9" x14ac:dyDescent="0.2">
      <c r="A4" s="8">
        <v>46314</v>
      </c>
      <c r="B4" s="9">
        <v>0.55396990740740737</v>
      </c>
      <c r="C4" s="6">
        <v>2.7851560000000002</v>
      </c>
      <c r="D4" s="4">
        <v>672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0.55396990740740737</v>
      </c>
      <c r="C5" s="6">
        <v>3.3007810000000002</v>
      </c>
      <c r="D5" s="4">
        <v>669</v>
      </c>
      <c r="E5" s="4" t="s">
        <v>28</v>
      </c>
      <c r="F5" s="10">
        <v>0.6</v>
      </c>
      <c r="G5" s="4" t="s">
        <v>27</v>
      </c>
    </row>
    <row r="6" spans="1:9" x14ac:dyDescent="0.2">
      <c r="A6" s="8">
        <v>46314</v>
      </c>
      <c r="B6" s="9">
        <v>0.55398148148148152</v>
      </c>
      <c r="C6" s="6">
        <v>3.8164060000000002</v>
      </c>
      <c r="D6" s="4">
        <v>673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0.55398148148148152</v>
      </c>
      <c r="C7" s="6">
        <v>4.3164059999999997</v>
      </c>
      <c r="D7" s="4">
        <v>669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0.55399305555555556</v>
      </c>
      <c r="C8" s="6">
        <v>4.8164059999999997</v>
      </c>
      <c r="D8" s="4">
        <v>669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0.55399305555555556</v>
      </c>
      <c r="C9" s="6">
        <v>5.3164059999999997</v>
      </c>
      <c r="D9" s="4">
        <v>672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0.5540046296296296</v>
      </c>
      <c r="C10" s="6">
        <v>5.8476559999999997</v>
      </c>
      <c r="D10" s="4">
        <v>668</v>
      </c>
      <c r="E10" s="4" t="s">
        <v>28</v>
      </c>
      <c r="F10" s="10">
        <v>0.6</v>
      </c>
      <c r="G10" s="4" t="s">
        <v>27</v>
      </c>
    </row>
    <row r="11" spans="1:9" x14ac:dyDescent="0.2">
      <c r="A11" s="8">
        <v>46314</v>
      </c>
      <c r="B11" s="9">
        <v>0.5540046296296296</v>
      </c>
      <c r="C11" s="6">
        <v>6.3632809999999997</v>
      </c>
      <c r="D11" s="4">
        <v>666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0.55401620370370375</v>
      </c>
      <c r="C12" s="6">
        <v>6.8632809999999997</v>
      </c>
      <c r="D12" s="4">
        <v>670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0.55401620370370375</v>
      </c>
      <c r="C13" s="6">
        <v>7.3632809999999997</v>
      </c>
      <c r="D13" s="4">
        <v>668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0.55402777777777779</v>
      </c>
      <c r="C14" s="6">
        <v>7.8632809999999997</v>
      </c>
      <c r="D14" s="4">
        <v>666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0.55402777777777779</v>
      </c>
      <c r="C15" s="6">
        <v>8.3945310000000006</v>
      </c>
      <c r="D15" s="4">
        <v>666</v>
      </c>
      <c r="E15" s="4" t="s">
        <v>28</v>
      </c>
      <c r="F15" s="10">
        <v>0.6</v>
      </c>
      <c r="G15" s="4" t="s">
        <v>27</v>
      </c>
    </row>
    <row r="16" spans="1:9" x14ac:dyDescent="0.2">
      <c r="A16" s="8">
        <v>46314</v>
      </c>
      <c r="B16" s="9">
        <v>0.55403935185185182</v>
      </c>
      <c r="C16" s="6">
        <v>8.9101560000000006</v>
      </c>
      <c r="D16" s="4">
        <v>667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0.55403935185185182</v>
      </c>
      <c r="C17" s="6">
        <v>9.453125</v>
      </c>
      <c r="D17" s="4">
        <v>667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0.55405092592592597</v>
      </c>
      <c r="C18" s="6">
        <v>9.9375</v>
      </c>
      <c r="D18" s="4">
        <v>670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0.55405092592592597</v>
      </c>
      <c r="C19" s="6">
        <v>10.45313</v>
      </c>
      <c r="D19" s="4">
        <v>668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0.55406250000000001</v>
      </c>
      <c r="C20" s="6">
        <v>10.9375</v>
      </c>
      <c r="D20" s="4">
        <v>664</v>
      </c>
      <c r="E20" s="4" t="s">
        <v>28</v>
      </c>
      <c r="F20" s="10">
        <v>0.6</v>
      </c>
      <c r="G20" s="4" t="s">
        <v>27</v>
      </c>
    </row>
    <row r="21" spans="1:7" x14ac:dyDescent="0.2">
      <c r="A21" s="8">
        <v>46314</v>
      </c>
      <c r="B21" s="9">
        <v>0.55407407407407405</v>
      </c>
      <c r="C21" s="6">
        <v>11.53125</v>
      </c>
      <c r="D21" s="4">
        <v>669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7307-9719-4BAC-BCDA-CC34BAE664BD}">
  <dimension ref="A1:I21"/>
  <sheetViews>
    <sheetView workbookViewId="0">
      <selection activeCell="H21" sqref="H21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0.55506944444444439</v>
      </c>
      <c r="C2" s="6">
        <v>1.816406</v>
      </c>
      <c r="D2" s="4">
        <v>633</v>
      </c>
      <c r="E2" s="4" t="s">
        <v>24</v>
      </c>
      <c r="F2" s="4" t="s">
        <v>24</v>
      </c>
      <c r="G2" s="4" t="s">
        <v>24</v>
      </c>
      <c r="I2">
        <f>AVERAGE(D2:D21)</f>
        <v>625.54999999999995</v>
      </c>
    </row>
    <row r="3" spans="1:9" x14ac:dyDescent="0.2">
      <c r="A3" s="8">
        <v>46314</v>
      </c>
      <c r="B3" s="9">
        <v>0.55508101851851854</v>
      </c>
      <c r="C3" s="6">
        <v>2.2929689999999998</v>
      </c>
      <c r="D3" s="4">
        <v>632</v>
      </c>
      <c r="E3" s="4" t="s">
        <v>24</v>
      </c>
      <c r="F3" s="4" t="s">
        <v>24</v>
      </c>
      <c r="G3" s="4" t="s">
        <v>24</v>
      </c>
      <c r="I3">
        <f>91*(1023-I2)/I2</f>
        <v>57.817840300535543</v>
      </c>
    </row>
    <row r="4" spans="1:9" x14ac:dyDescent="0.2">
      <c r="A4" s="8">
        <v>46314</v>
      </c>
      <c r="B4" s="9">
        <v>0.55508101851851854</v>
      </c>
      <c r="C4" s="6">
        <v>2.7929689999999998</v>
      </c>
      <c r="D4" s="4">
        <v>631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0.55509259259259258</v>
      </c>
      <c r="C5" s="6">
        <v>3.3125</v>
      </c>
      <c r="D5" s="4">
        <v>628</v>
      </c>
      <c r="E5" s="4" t="s">
        <v>28</v>
      </c>
      <c r="F5" s="10">
        <v>0.6</v>
      </c>
      <c r="G5" s="4" t="s">
        <v>27</v>
      </c>
    </row>
    <row r="6" spans="1:9" x14ac:dyDescent="0.2">
      <c r="A6" s="8">
        <v>46314</v>
      </c>
      <c r="B6" s="9">
        <v>0.55509259259259258</v>
      </c>
      <c r="C6" s="6">
        <v>3.8359380000000001</v>
      </c>
      <c r="D6" s="4">
        <v>630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0.55510416666666662</v>
      </c>
      <c r="C7" s="6">
        <v>4.3359379999999996</v>
      </c>
      <c r="D7" s="4">
        <v>627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0.55510416666666662</v>
      </c>
      <c r="C8" s="6">
        <v>4.8359379999999996</v>
      </c>
      <c r="D8" s="4">
        <v>628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0.55511574074074077</v>
      </c>
      <c r="C9" s="6">
        <v>5.3359379999999996</v>
      </c>
      <c r="D9" s="4">
        <v>623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0.55511574074074077</v>
      </c>
      <c r="C10" s="6">
        <v>5.8554690000000003</v>
      </c>
      <c r="D10" s="4">
        <v>628</v>
      </c>
      <c r="E10" s="4" t="s">
        <v>28</v>
      </c>
      <c r="F10" s="10">
        <v>0.6</v>
      </c>
      <c r="G10" s="4" t="s">
        <v>27</v>
      </c>
    </row>
    <row r="11" spans="1:9" x14ac:dyDescent="0.2">
      <c r="A11" s="8">
        <v>46314</v>
      </c>
      <c r="B11" s="9">
        <v>0.55512731481481481</v>
      </c>
      <c r="C11" s="6">
        <v>6.3789059999999997</v>
      </c>
      <c r="D11" s="4">
        <v>625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0.55512731481481481</v>
      </c>
      <c r="C12" s="6">
        <v>6.8789059999999997</v>
      </c>
      <c r="D12" s="4">
        <v>625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0.55513888888888885</v>
      </c>
      <c r="C13" s="6">
        <v>7.3789059999999997</v>
      </c>
      <c r="D13" s="4">
        <v>622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0.55513888888888885</v>
      </c>
      <c r="C14" s="6">
        <v>7.8710940000000003</v>
      </c>
      <c r="D14" s="4">
        <v>625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0.555150462962963</v>
      </c>
      <c r="C15" s="6">
        <v>8.3867189999999994</v>
      </c>
      <c r="D15" s="4">
        <v>621</v>
      </c>
      <c r="E15" s="4" t="s">
        <v>28</v>
      </c>
      <c r="F15" s="10">
        <v>0.6</v>
      </c>
      <c r="G15" s="4" t="s">
        <v>27</v>
      </c>
    </row>
    <row r="16" spans="1:9" x14ac:dyDescent="0.2">
      <c r="A16" s="8">
        <v>46314</v>
      </c>
      <c r="B16" s="9">
        <v>0.555150462962963</v>
      </c>
      <c r="C16" s="6">
        <v>8.9179689999999994</v>
      </c>
      <c r="D16" s="4">
        <v>621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0.55516203703703704</v>
      </c>
      <c r="C17" s="6">
        <v>9.4179689999999994</v>
      </c>
      <c r="D17" s="4">
        <v>622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0.55516203703703704</v>
      </c>
      <c r="C18" s="6">
        <v>9.9179689999999994</v>
      </c>
      <c r="D18" s="4">
        <v>625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0.55517361111111108</v>
      </c>
      <c r="C19" s="6">
        <v>10.41797</v>
      </c>
      <c r="D19" s="4">
        <v>621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0.55517361111111108</v>
      </c>
      <c r="C20" s="6">
        <v>10.933590000000001</v>
      </c>
      <c r="D20" s="4">
        <v>622</v>
      </c>
      <c r="E20" s="4" t="s">
        <v>28</v>
      </c>
      <c r="F20" s="10">
        <v>0.6</v>
      </c>
      <c r="G20" s="4" t="s">
        <v>27</v>
      </c>
    </row>
    <row r="21" spans="1:7" x14ac:dyDescent="0.2">
      <c r="A21" s="8">
        <v>46314</v>
      </c>
      <c r="B21" s="9">
        <v>0.55518518518518523</v>
      </c>
      <c r="C21" s="6">
        <v>11.44922</v>
      </c>
      <c r="D21" s="4">
        <v>622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BEF64-1AC5-4F28-9432-DC0F82F10FBD}">
  <dimension ref="A1:I21"/>
  <sheetViews>
    <sheetView workbookViewId="0">
      <selection activeCell="F12" sqref="F11:F1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9" x14ac:dyDescent="0.2">
      <c r="A2" s="8">
        <v>46314</v>
      </c>
      <c r="B2" s="9">
        <v>0.55652777777777773</v>
      </c>
      <c r="C2" s="6">
        <v>1.8125</v>
      </c>
      <c r="D2" s="4">
        <v>704</v>
      </c>
      <c r="E2" s="4" t="s">
        <v>24</v>
      </c>
      <c r="F2" s="4" t="s">
        <v>24</v>
      </c>
      <c r="G2" s="4" t="s">
        <v>24</v>
      </c>
      <c r="I2">
        <f>AVERAGE(D2:D21)</f>
        <v>692.55</v>
      </c>
    </row>
    <row r="3" spans="1:9" x14ac:dyDescent="0.2">
      <c r="A3" s="8">
        <v>46314</v>
      </c>
      <c r="B3" s="9">
        <v>0.55653935185185188</v>
      </c>
      <c r="C3" s="6">
        <v>2.28125</v>
      </c>
      <c r="D3" s="4">
        <v>704</v>
      </c>
      <c r="E3" s="4" t="s">
        <v>24</v>
      </c>
      <c r="F3" s="4" t="s">
        <v>24</v>
      </c>
      <c r="G3" s="4" t="s">
        <v>24</v>
      </c>
      <c r="I3">
        <f>91*(1023-I2)/I2</f>
        <v>43.420619449859224</v>
      </c>
    </row>
    <row r="4" spans="1:9" x14ac:dyDescent="0.2">
      <c r="A4" s="8">
        <v>46314</v>
      </c>
      <c r="B4" s="9">
        <v>0.55653935185185188</v>
      </c>
      <c r="C4" s="6">
        <v>2.78125</v>
      </c>
      <c r="D4" s="4">
        <v>699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0.55655092592592592</v>
      </c>
      <c r="C5" s="6">
        <v>3.796875</v>
      </c>
      <c r="D5" s="4">
        <v>699</v>
      </c>
      <c r="E5" s="4" t="s">
        <v>25</v>
      </c>
      <c r="F5" s="4" t="s">
        <v>25</v>
      </c>
      <c r="G5" s="4">
        <v>-237</v>
      </c>
    </row>
    <row r="6" spans="1:9" x14ac:dyDescent="0.2">
      <c r="A6" s="8">
        <v>46314</v>
      </c>
      <c r="B6" s="9">
        <v>0.55656249999999996</v>
      </c>
      <c r="C6" s="6">
        <v>4.328125</v>
      </c>
      <c r="D6" s="4">
        <v>693</v>
      </c>
      <c r="E6" s="4" t="s">
        <v>25</v>
      </c>
      <c r="F6" s="4" t="s">
        <v>25</v>
      </c>
      <c r="G6" s="4">
        <v>4112</v>
      </c>
    </row>
    <row r="7" spans="1:9" x14ac:dyDescent="0.2">
      <c r="A7" s="8">
        <v>46314</v>
      </c>
      <c r="B7" s="9">
        <v>0.55657407407407411</v>
      </c>
      <c r="C7" s="6">
        <v>5.3554690000000003</v>
      </c>
      <c r="D7" s="4">
        <v>696</v>
      </c>
      <c r="E7" s="4" t="s">
        <v>25</v>
      </c>
      <c r="F7" s="4" t="s">
        <v>25</v>
      </c>
      <c r="G7" s="4">
        <v>-237</v>
      </c>
    </row>
    <row r="8" spans="1:9" x14ac:dyDescent="0.2">
      <c r="A8" s="8">
        <v>46314</v>
      </c>
      <c r="B8" s="9">
        <v>0.55657407407407411</v>
      </c>
      <c r="C8" s="6">
        <v>5.8867190000000003</v>
      </c>
      <c r="D8" s="4">
        <v>691</v>
      </c>
      <c r="E8" s="4" t="s">
        <v>25</v>
      </c>
      <c r="F8" s="4" t="s">
        <v>25</v>
      </c>
      <c r="G8" s="4">
        <v>3088</v>
      </c>
    </row>
    <row r="9" spans="1:9" x14ac:dyDescent="0.2">
      <c r="A9" s="8">
        <v>46314</v>
      </c>
      <c r="B9" s="9">
        <v>0.55658564814814815</v>
      </c>
      <c r="C9" s="6">
        <v>6.9179690000000003</v>
      </c>
      <c r="D9" s="4">
        <v>693</v>
      </c>
      <c r="E9" s="4" t="s">
        <v>25</v>
      </c>
      <c r="F9" s="4" t="s">
        <v>25</v>
      </c>
      <c r="G9" s="4">
        <v>-237</v>
      </c>
    </row>
    <row r="10" spans="1:9" x14ac:dyDescent="0.2">
      <c r="A10" s="8">
        <v>46314</v>
      </c>
      <c r="B10" s="9">
        <v>0.55659722222222219</v>
      </c>
      <c r="C10" s="6">
        <v>7.453125</v>
      </c>
      <c r="D10" s="4">
        <v>690</v>
      </c>
      <c r="E10" s="4" t="s">
        <v>25</v>
      </c>
      <c r="F10" s="4" t="s">
        <v>25</v>
      </c>
      <c r="G10" s="4">
        <v>4112</v>
      </c>
    </row>
    <row r="11" spans="1:9" x14ac:dyDescent="0.2">
      <c r="A11" s="8">
        <v>46314</v>
      </c>
      <c r="B11" s="9">
        <v>0.55659722222222219</v>
      </c>
      <c r="C11" s="6">
        <v>7.9804690000000003</v>
      </c>
      <c r="D11" s="4">
        <v>692</v>
      </c>
      <c r="E11" s="4" t="s">
        <v>28</v>
      </c>
      <c r="F11" s="10">
        <v>0.61</v>
      </c>
      <c r="G11" s="4" t="s">
        <v>27</v>
      </c>
    </row>
    <row r="12" spans="1:9" x14ac:dyDescent="0.2">
      <c r="A12" s="8">
        <v>46314</v>
      </c>
      <c r="B12" s="9">
        <v>0.55660879629629634</v>
      </c>
      <c r="C12" s="6">
        <v>8.5117189999999994</v>
      </c>
      <c r="D12" s="4">
        <v>692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0.55660879629629634</v>
      </c>
      <c r="C13" s="6">
        <v>9.0117189999999994</v>
      </c>
      <c r="D13" s="4">
        <v>690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0.55662037037037038</v>
      </c>
      <c r="C14" s="6">
        <v>9.5117189999999994</v>
      </c>
      <c r="D14" s="4">
        <v>690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0.55662037037037038</v>
      </c>
      <c r="C15" s="6">
        <v>10.01172</v>
      </c>
      <c r="D15" s="4">
        <v>691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46314</v>
      </c>
      <c r="B16" s="9">
        <v>0.55663194444444442</v>
      </c>
      <c r="C16" s="6">
        <v>11.027340000000001</v>
      </c>
      <c r="D16" s="4">
        <v>688</v>
      </c>
      <c r="E16" s="4" t="s">
        <v>25</v>
      </c>
      <c r="F16" s="4" t="s">
        <v>25</v>
      </c>
      <c r="G16" s="4">
        <v>-237</v>
      </c>
    </row>
    <row r="17" spans="1:7" x14ac:dyDescent="0.2">
      <c r="A17" s="8">
        <v>46314</v>
      </c>
      <c r="B17" s="9">
        <v>0.55664351851851857</v>
      </c>
      <c r="C17" s="6">
        <v>11.54297</v>
      </c>
      <c r="D17" s="4">
        <v>686</v>
      </c>
      <c r="E17" s="4" t="s">
        <v>25</v>
      </c>
      <c r="F17" s="4" t="s">
        <v>25</v>
      </c>
      <c r="G17" s="4">
        <v>3088</v>
      </c>
    </row>
    <row r="18" spans="1:7" x14ac:dyDescent="0.2">
      <c r="A18" s="8">
        <v>46314</v>
      </c>
      <c r="B18" s="9">
        <v>0.5566550925925926</v>
      </c>
      <c r="C18" s="6">
        <v>12.57813</v>
      </c>
      <c r="D18" s="4">
        <v>687</v>
      </c>
      <c r="E18" s="4" t="s">
        <v>25</v>
      </c>
      <c r="F18" s="4" t="s">
        <v>25</v>
      </c>
      <c r="G18" s="4">
        <v>-237</v>
      </c>
    </row>
    <row r="19" spans="1:7" x14ac:dyDescent="0.2">
      <c r="A19" s="8">
        <v>46314</v>
      </c>
      <c r="B19" s="9">
        <v>0.5566550925925926</v>
      </c>
      <c r="C19" s="6">
        <v>13.10938</v>
      </c>
      <c r="D19" s="4">
        <v>691</v>
      </c>
      <c r="E19" s="4" t="s">
        <v>25</v>
      </c>
      <c r="F19" s="4" t="s">
        <v>25</v>
      </c>
      <c r="G19" s="4">
        <v>4112</v>
      </c>
    </row>
    <row r="20" spans="1:7" x14ac:dyDescent="0.2">
      <c r="A20" s="8">
        <v>46314</v>
      </c>
      <c r="B20" s="9">
        <v>0.55666666666666664</v>
      </c>
      <c r="C20" s="6">
        <v>14.14063</v>
      </c>
      <c r="D20" s="4">
        <v>687</v>
      </c>
      <c r="E20" s="4" t="s">
        <v>25</v>
      </c>
      <c r="F20" s="4" t="s">
        <v>25</v>
      </c>
      <c r="G20" s="4">
        <v>-237</v>
      </c>
    </row>
    <row r="21" spans="1:7" x14ac:dyDescent="0.2">
      <c r="A21" s="8">
        <v>46314</v>
      </c>
      <c r="B21" s="9">
        <v>0.55667824074074079</v>
      </c>
      <c r="C21" s="6">
        <v>14.67188</v>
      </c>
      <c r="D21" s="4">
        <v>688</v>
      </c>
      <c r="E21" s="4" t="s">
        <v>25</v>
      </c>
      <c r="F21" s="4" t="s">
        <v>25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FDB1-88F6-48EF-BF3B-673EA403ED0B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0.55781250000000004</v>
      </c>
      <c r="C2" s="6">
        <v>1.8125</v>
      </c>
      <c r="D2" s="4">
        <v>557</v>
      </c>
      <c r="E2" s="4" t="s">
        <v>24</v>
      </c>
      <c r="F2" s="4" t="s">
        <v>24</v>
      </c>
      <c r="G2" s="4" t="s">
        <v>24</v>
      </c>
      <c r="I2">
        <f>AVERAGE(D2:D21)</f>
        <v>561.75</v>
      </c>
    </row>
    <row r="3" spans="1:9" x14ac:dyDescent="0.2">
      <c r="A3" s="8">
        <v>46314</v>
      </c>
      <c r="B3" s="9">
        <v>0.55782407407407408</v>
      </c>
      <c r="C3" s="6">
        <v>2.28125</v>
      </c>
      <c r="D3" s="4">
        <v>561</v>
      </c>
      <c r="E3" s="4" t="s">
        <v>24</v>
      </c>
      <c r="F3" s="4" t="s">
        <v>24</v>
      </c>
      <c r="G3" s="4" t="s">
        <v>24</v>
      </c>
      <c r="I3">
        <f>91*(1023-I2)/I2</f>
        <v>74.719626168224295</v>
      </c>
    </row>
    <row r="4" spans="1:9" x14ac:dyDescent="0.2">
      <c r="A4" s="8">
        <v>46314</v>
      </c>
      <c r="B4" s="9">
        <v>0.55782407407407408</v>
      </c>
      <c r="C4" s="6">
        <v>2.78125</v>
      </c>
      <c r="D4" s="4">
        <v>559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0.55783564814814812</v>
      </c>
      <c r="C5" s="6">
        <v>3.3125</v>
      </c>
      <c r="D5" s="4">
        <v>560</v>
      </c>
      <c r="E5" s="4" t="s">
        <v>28</v>
      </c>
      <c r="F5" s="10">
        <v>0.6</v>
      </c>
      <c r="G5" s="4" t="s">
        <v>27</v>
      </c>
    </row>
    <row r="6" spans="1:9" x14ac:dyDescent="0.2">
      <c r="A6" s="8">
        <v>46314</v>
      </c>
      <c r="B6" s="9">
        <v>0.55783564814814812</v>
      </c>
      <c r="C6" s="6">
        <v>3.8242189999999998</v>
      </c>
      <c r="D6" s="4">
        <v>560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0.55784722222222227</v>
      </c>
      <c r="C7" s="6">
        <v>4.3242190000000003</v>
      </c>
      <c r="D7" s="4">
        <v>563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0.55784722222222227</v>
      </c>
      <c r="C8" s="6">
        <v>4.8242190000000003</v>
      </c>
      <c r="D8" s="4">
        <v>559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0.55785879629629631</v>
      </c>
      <c r="C9" s="6">
        <v>5.3242190000000003</v>
      </c>
      <c r="D9" s="4">
        <v>559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0.55785879629629631</v>
      </c>
      <c r="C10" s="6">
        <v>5.8398440000000003</v>
      </c>
      <c r="D10" s="4">
        <v>563</v>
      </c>
      <c r="E10" s="4" t="s">
        <v>28</v>
      </c>
      <c r="F10" s="10">
        <v>0.6</v>
      </c>
      <c r="G10" s="4" t="s">
        <v>27</v>
      </c>
    </row>
    <row r="11" spans="1:9" x14ac:dyDescent="0.2">
      <c r="A11" s="8">
        <v>46314</v>
      </c>
      <c r="B11" s="9">
        <v>0.55787037037037035</v>
      </c>
      <c r="C11" s="6">
        <v>6.3710940000000003</v>
      </c>
      <c r="D11" s="4">
        <v>564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0.55787037037037035</v>
      </c>
      <c r="C12" s="6">
        <v>6.8710940000000003</v>
      </c>
      <c r="D12" s="4">
        <v>562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0.5578819444444445</v>
      </c>
      <c r="C13" s="6">
        <v>7.3710940000000003</v>
      </c>
      <c r="D13" s="4">
        <v>565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0.5578819444444445</v>
      </c>
      <c r="C14" s="6">
        <v>7.8710940000000003</v>
      </c>
      <c r="D14" s="4">
        <v>561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0.55789351851851854</v>
      </c>
      <c r="C15" s="6">
        <v>8.8867189999999994</v>
      </c>
      <c r="D15" s="4">
        <v>564</v>
      </c>
      <c r="E15" s="4" t="s">
        <v>25</v>
      </c>
      <c r="F15" s="4" t="s">
        <v>25</v>
      </c>
      <c r="G15" s="4">
        <v>-237</v>
      </c>
    </row>
    <row r="16" spans="1:9" x14ac:dyDescent="0.2">
      <c r="A16" s="8">
        <v>46314</v>
      </c>
      <c r="B16" s="9">
        <v>0.55790509259259258</v>
      </c>
      <c r="C16" s="6">
        <v>9.4179689999999994</v>
      </c>
      <c r="D16" s="4">
        <v>562</v>
      </c>
      <c r="E16" s="4" t="s">
        <v>25</v>
      </c>
      <c r="F16" s="4" t="s">
        <v>25</v>
      </c>
      <c r="G16" s="4">
        <v>4112</v>
      </c>
    </row>
    <row r="17" spans="1:7" x14ac:dyDescent="0.2">
      <c r="A17" s="8">
        <v>46314</v>
      </c>
      <c r="B17" s="9">
        <v>0.55790509259259258</v>
      </c>
      <c r="C17" s="6">
        <v>9.9492189999999994</v>
      </c>
      <c r="D17" s="4">
        <v>563</v>
      </c>
      <c r="E17" s="4" t="s">
        <v>28</v>
      </c>
      <c r="F17" s="10">
        <v>0.6</v>
      </c>
      <c r="G17" s="4" t="s">
        <v>27</v>
      </c>
    </row>
    <row r="18" spans="1:7" x14ac:dyDescent="0.2">
      <c r="A18" s="8">
        <v>46314</v>
      </c>
      <c r="B18" s="9">
        <v>0.55791666666666662</v>
      </c>
      <c r="C18" s="6">
        <v>10.464840000000001</v>
      </c>
      <c r="D18" s="4">
        <v>565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0.55791666666666662</v>
      </c>
      <c r="C19" s="6">
        <v>10.964840000000001</v>
      </c>
      <c r="D19" s="4">
        <v>563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0.55792824074074077</v>
      </c>
      <c r="C20" s="6">
        <v>11.464840000000001</v>
      </c>
      <c r="D20" s="4">
        <v>561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46314</v>
      </c>
      <c r="B21" s="9">
        <v>0.55792824074074077</v>
      </c>
      <c r="C21" s="6">
        <v>11.98047</v>
      </c>
      <c r="D21" s="4">
        <v>564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4852-39EB-4C4D-8F71-D02A695D1612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0.55895833333333333</v>
      </c>
      <c r="C2" s="6">
        <v>1.792969</v>
      </c>
      <c r="D2" s="4">
        <v>617</v>
      </c>
      <c r="E2" s="4" t="s">
        <v>24</v>
      </c>
      <c r="F2" s="4" t="s">
        <v>24</v>
      </c>
      <c r="G2" s="4" t="s">
        <v>24</v>
      </c>
      <c r="I2">
        <f>AVERAGE(D2:D21)</f>
        <v>614.70000000000005</v>
      </c>
    </row>
    <row r="3" spans="1:9" x14ac:dyDescent="0.2">
      <c r="A3" s="8">
        <v>46314</v>
      </c>
      <c r="B3" s="9">
        <v>0.55895833333333333</v>
      </c>
      <c r="C3" s="6">
        <v>2.2773439999999998</v>
      </c>
      <c r="D3" s="4">
        <v>612</v>
      </c>
      <c r="E3" s="4" t="s">
        <v>24</v>
      </c>
      <c r="F3" s="4" t="s">
        <v>24</v>
      </c>
      <c r="G3" s="4" t="s">
        <v>24</v>
      </c>
      <c r="I3">
        <f>91*(1023-I2)/I2</f>
        <v>60.444607125427027</v>
      </c>
    </row>
    <row r="4" spans="1:9" x14ac:dyDescent="0.2">
      <c r="A4" s="8">
        <v>46314</v>
      </c>
      <c r="B4" s="9">
        <v>0.55896990740740737</v>
      </c>
      <c r="C4" s="6">
        <v>2.7773439999999998</v>
      </c>
      <c r="D4" s="4">
        <v>613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0.55896990740740737</v>
      </c>
      <c r="C5" s="6">
        <v>3.2929689999999998</v>
      </c>
      <c r="D5" s="4">
        <v>617</v>
      </c>
      <c r="E5" s="4" t="s">
        <v>28</v>
      </c>
      <c r="F5" s="10">
        <v>0.59</v>
      </c>
      <c r="G5" s="4" t="s">
        <v>27</v>
      </c>
    </row>
    <row r="6" spans="1:9" x14ac:dyDescent="0.2">
      <c r="A6" s="8">
        <v>46314</v>
      </c>
      <c r="B6" s="9">
        <v>0.55898148148148152</v>
      </c>
      <c r="C6" s="6">
        <v>3.8085939999999998</v>
      </c>
      <c r="D6" s="4">
        <v>612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0.55898148148148152</v>
      </c>
      <c r="C7" s="6">
        <v>4.3085940000000003</v>
      </c>
      <c r="D7" s="4">
        <v>614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0.55899305555555556</v>
      </c>
      <c r="C8" s="6">
        <v>4.8085940000000003</v>
      </c>
      <c r="D8" s="4">
        <v>612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0.55899305555555556</v>
      </c>
      <c r="C9" s="6">
        <v>5.3242190000000003</v>
      </c>
      <c r="D9" s="4">
        <v>614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0.5590046296296296</v>
      </c>
      <c r="C10" s="6">
        <v>6.3398440000000003</v>
      </c>
      <c r="D10" s="4">
        <v>616</v>
      </c>
      <c r="E10" s="4" t="s">
        <v>25</v>
      </c>
      <c r="F10" s="4" t="s">
        <v>25</v>
      </c>
      <c r="G10" s="4">
        <v>-237</v>
      </c>
    </row>
    <row r="11" spans="1:9" x14ac:dyDescent="0.2">
      <c r="A11" s="8">
        <v>46314</v>
      </c>
      <c r="B11" s="9">
        <v>0.55901620370370375</v>
      </c>
      <c r="C11" s="6">
        <v>6.8554690000000003</v>
      </c>
      <c r="D11" s="4">
        <v>616</v>
      </c>
      <c r="E11" s="4" t="s">
        <v>25</v>
      </c>
      <c r="F11" s="4" t="s">
        <v>25</v>
      </c>
      <c r="G11" s="4">
        <v>4112</v>
      </c>
    </row>
    <row r="12" spans="1:9" x14ac:dyDescent="0.2">
      <c r="A12" s="8">
        <v>46314</v>
      </c>
      <c r="B12" s="9">
        <v>0.55902777777777779</v>
      </c>
      <c r="C12" s="6">
        <v>7.9023440000000003</v>
      </c>
      <c r="D12" s="4">
        <v>611</v>
      </c>
      <c r="E12" s="4" t="s">
        <v>25</v>
      </c>
      <c r="F12" s="4" t="s">
        <v>25</v>
      </c>
      <c r="G12" s="4">
        <v>-237</v>
      </c>
    </row>
    <row r="13" spans="1:9" x14ac:dyDescent="0.2">
      <c r="A13" s="8">
        <v>46314</v>
      </c>
      <c r="B13" s="9">
        <v>0.55902777777777779</v>
      </c>
      <c r="C13" s="6">
        <v>8.4179689999999994</v>
      </c>
      <c r="D13" s="4">
        <v>618</v>
      </c>
      <c r="E13" s="4" t="s">
        <v>25</v>
      </c>
      <c r="F13" s="4" t="s">
        <v>25</v>
      </c>
      <c r="G13" s="4">
        <v>4112</v>
      </c>
    </row>
    <row r="14" spans="1:9" x14ac:dyDescent="0.2">
      <c r="A14" s="8">
        <v>46314</v>
      </c>
      <c r="B14" s="9">
        <v>0.55903935185185183</v>
      </c>
      <c r="C14" s="6">
        <v>9.4648439999999994</v>
      </c>
      <c r="D14" s="4">
        <v>615</v>
      </c>
      <c r="E14" s="4" t="s">
        <v>25</v>
      </c>
      <c r="F14" s="4" t="s">
        <v>25</v>
      </c>
      <c r="G14" s="4">
        <v>-237</v>
      </c>
    </row>
    <row r="15" spans="1:9" x14ac:dyDescent="0.2">
      <c r="A15" s="8">
        <v>46314</v>
      </c>
      <c r="B15" s="9">
        <v>0.55905092592592598</v>
      </c>
      <c r="C15" s="6">
        <v>9.9804689999999994</v>
      </c>
      <c r="D15" s="4">
        <v>616</v>
      </c>
      <c r="E15" s="4" t="s">
        <v>25</v>
      </c>
      <c r="F15" s="4" t="s">
        <v>25</v>
      </c>
      <c r="G15" s="4">
        <v>4112</v>
      </c>
    </row>
    <row r="16" spans="1:9" x14ac:dyDescent="0.2">
      <c r="A16" s="8">
        <v>46314</v>
      </c>
      <c r="B16" s="9">
        <v>0.55906250000000002</v>
      </c>
      <c r="C16" s="6">
        <v>11.007809999999999</v>
      </c>
      <c r="D16" s="4">
        <v>618</v>
      </c>
      <c r="E16" s="4" t="s">
        <v>25</v>
      </c>
      <c r="F16" s="4" t="s">
        <v>25</v>
      </c>
      <c r="G16" s="4">
        <v>-237</v>
      </c>
    </row>
    <row r="17" spans="1:7" x14ac:dyDescent="0.2">
      <c r="A17" s="8">
        <v>46314</v>
      </c>
      <c r="B17" s="9">
        <v>0.55907407407407406</v>
      </c>
      <c r="C17" s="6">
        <v>11.539059999999999</v>
      </c>
      <c r="D17" s="4">
        <v>614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0.55907407407407406</v>
      </c>
      <c r="C18" s="6">
        <v>12.070309999999999</v>
      </c>
      <c r="D18" s="4">
        <v>614</v>
      </c>
      <c r="E18" s="4" t="s">
        <v>25</v>
      </c>
      <c r="F18" s="4" t="s">
        <v>25</v>
      </c>
      <c r="G18" s="4">
        <v>21</v>
      </c>
    </row>
    <row r="19" spans="1:7" x14ac:dyDescent="0.2">
      <c r="A19" s="8">
        <v>46314</v>
      </c>
      <c r="B19" s="9">
        <v>0.5590856481481481</v>
      </c>
      <c r="C19" s="6">
        <v>12.601559999999999</v>
      </c>
      <c r="D19" s="4">
        <v>614</v>
      </c>
      <c r="E19" s="4" t="s">
        <v>25</v>
      </c>
      <c r="F19" s="4" t="s">
        <v>25</v>
      </c>
      <c r="G19" s="4">
        <v>3088</v>
      </c>
    </row>
    <row r="20" spans="1:7" x14ac:dyDescent="0.2">
      <c r="A20" s="8">
        <v>46314</v>
      </c>
      <c r="B20" s="9">
        <v>0.5590856481481481</v>
      </c>
      <c r="C20" s="6">
        <v>13.132809999999999</v>
      </c>
      <c r="D20" s="4">
        <v>613</v>
      </c>
      <c r="E20" s="4" t="s">
        <v>25</v>
      </c>
      <c r="F20" s="4" t="s">
        <v>25</v>
      </c>
      <c r="G20" s="4">
        <v>4112</v>
      </c>
    </row>
    <row r="21" spans="1:7" x14ac:dyDescent="0.2">
      <c r="A21" s="8">
        <v>46314</v>
      </c>
      <c r="B21" s="9">
        <v>0.55909722222222225</v>
      </c>
      <c r="C21" s="6">
        <v>13.664059999999999</v>
      </c>
      <c r="D21" s="4">
        <v>618</v>
      </c>
      <c r="E21" s="4" t="s">
        <v>25</v>
      </c>
      <c r="F21" s="4" t="s">
        <v>25</v>
      </c>
      <c r="G21" s="4">
        <v>21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83AD-D548-497E-93D8-1B756323E9DF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0.56057870370370366</v>
      </c>
      <c r="C2" s="6">
        <v>1.796875</v>
      </c>
      <c r="D2" s="4">
        <v>609</v>
      </c>
      <c r="E2" s="4" t="s">
        <v>24</v>
      </c>
      <c r="F2" s="4" t="s">
        <v>24</v>
      </c>
      <c r="G2" s="4" t="s">
        <v>24</v>
      </c>
      <c r="I2">
        <f>AVERAGE(D2:D21)</f>
        <v>607.29999999999995</v>
      </c>
    </row>
    <row r="3" spans="1:9" x14ac:dyDescent="0.2">
      <c r="A3" s="8">
        <v>46314</v>
      </c>
      <c r="B3" s="9">
        <v>0.56059027777777781</v>
      </c>
      <c r="C3" s="6">
        <v>2.28125</v>
      </c>
      <c r="D3" s="4">
        <v>608</v>
      </c>
      <c r="E3" s="4" t="s">
        <v>24</v>
      </c>
      <c r="F3" s="4" t="s">
        <v>24</v>
      </c>
      <c r="G3" s="4" t="s">
        <v>24</v>
      </c>
      <c r="I3">
        <f>91*(1023-I2)/I2</f>
        <v>62.289972007245197</v>
      </c>
    </row>
    <row r="4" spans="1:9" x14ac:dyDescent="0.2">
      <c r="A4" s="8">
        <v>46314</v>
      </c>
      <c r="B4" s="9">
        <v>0.56059027777777781</v>
      </c>
      <c r="C4" s="6">
        <v>2.78125</v>
      </c>
      <c r="D4" s="4">
        <v>607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0.56060185185185185</v>
      </c>
      <c r="C5" s="6">
        <v>3.796875</v>
      </c>
      <c r="D5" s="4">
        <v>609</v>
      </c>
      <c r="E5" s="4" t="s">
        <v>25</v>
      </c>
      <c r="F5" s="4" t="s">
        <v>25</v>
      </c>
      <c r="G5" s="4">
        <v>-237</v>
      </c>
    </row>
    <row r="6" spans="1:9" x14ac:dyDescent="0.2">
      <c r="A6" s="8">
        <v>46314</v>
      </c>
      <c r="B6" s="9">
        <v>0.56061342592592589</v>
      </c>
      <c r="C6" s="6">
        <v>4.3125</v>
      </c>
      <c r="D6" s="4">
        <v>605</v>
      </c>
      <c r="E6" s="4" t="s">
        <v>25</v>
      </c>
      <c r="F6" s="4" t="s">
        <v>25</v>
      </c>
      <c r="G6" s="4">
        <v>4112</v>
      </c>
    </row>
    <row r="7" spans="1:9" x14ac:dyDescent="0.2">
      <c r="A7" s="8">
        <v>46314</v>
      </c>
      <c r="B7" s="9">
        <v>0.56061342592592589</v>
      </c>
      <c r="C7" s="6">
        <v>4.8554690000000003</v>
      </c>
      <c r="D7" s="4">
        <v>610</v>
      </c>
      <c r="E7" s="4" t="s">
        <v>28</v>
      </c>
      <c r="F7" s="10">
        <v>0.59</v>
      </c>
      <c r="G7" s="4" t="s">
        <v>27</v>
      </c>
    </row>
    <row r="8" spans="1:9" x14ac:dyDescent="0.2">
      <c r="A8" s="8">
        <v>46314</v>
      </c>
      <c r="B8" s="9">
        <v>0.56062500000000004</v>
      </c>
      <c r="C8" s="6">
        <v>5.375</v>
      </c>
      <c r="D8" s="4">
        <v>609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0.56062500000000004</v>
      </c>
      <c r="C9" s="6">
        <v>5.8710940000000003</v>
      </c>
      <c r="D9" s="4">
        <v>609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0.56063657407407408</v>
      </c>
      <c r="C10" s="6">
        <v>6.3710940000000003</v>
      </c>
      <c r="D10" s="4">
        <v>606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46314</v>
      </c>
      <c r="B11" s="9">
        <v>0.56063657407407408</v>
      </c>
      <c r="C11" s="6">
        <v>6.8867190000000003</v>
      </c>
      <c r="D11" s="4">
        <v>604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0.56064814814814812</v>
      </c>
      <c r="C12" s="6">
        <v>7.9023440000000003</v>
      </c>
      <c r="D12" s="4">
        <v>607</v>
      </c>
      <c r="E12" s="4" t="s">
        <v>25</v>
      </c>
      <c r="F12" s="4" t="s">
        <v>25</v>
      </c>
      <c r="G12" s="4">
        <v>-237</v>
      </c>
    </row>
    <row r="13" spans="1:9" x14ac:dyDescent="0.2">
      <c r="A13" s="8">
        <v>46314</v>
      </c>
      <c r="B13" s="9">
        <v>0.56065972222222227</v>
      </c>
      <c r="C13" s="6">
        <v>8.4179689999999994</v>
      </c>
      <c r="D13" s="4">
        <v>605</v>
      </c>
      <c r="E13" s="4" t="s">
        <v>25</v>
      </c>
      <c r="F13" s="4" t="s">
        <v>25</v>
      </c>
      <c r="G13" s="4">
        <v>4112</v>
      </c>
    </row>
    <row r="14" spans="1:9" x14ac:dyDescent="0.2">
      <c r="A14" s="8">
        <v>46314</v>
      </c>
      <c r="B14" s="9">
        <v>0.56067129629629631</v>
      </c>
      <c r="C14" s="6">
        <v>9.4492189999999994</v>
      </c>
      <c r="D14" s="4">
        <v>607</v>
      </c>
      <c r="E14" s="4" t="s">
        <v>25</v>
      </c>
      <c r="F14" s="4" t="s">
        <v>25</v>
      </c>
      <c r="G14" s="4">
        <v>-237</v>
      </c>
    </row>
    <row r="15" spans="1:9" x14ac:dyDescent="0.2">
      <c r="A15" s="8">
        <v>46314</v>
      </c>
      <c r="B15" s="9">
        <v>0.56067129629629631</v>
      </c>
      <c r="C15" s="6">
        <v>9.9804689999999994</v>
      </c>
      <c r="D15" s="4">
        <v>605</v>
      </c>
      <c r="E15" s="4" t="s">
        <v>25</v>
      </c>
      <c r="F15" s="4" t="s">
        <v>25</v>
      </c>
      <c r="G15" s="4">
        <v>4112</v>
      </c>
    </row>
    <row r="16" spans="1:9" x14ac:dyDescent="0.2">
      <c r="A16" s="8">
        <v>46314</v>
      </c>
      <c r="B16" s="9">
        <v>0.56068287037037035</v>
      </c>
      <c r="C16" s="6">
        <v>11.01172</v>
      </c>
      <c r="D16" s="4">
        <v>610</v>
      </c>
      <c r="E16" s="4" t="s">
        <v>25</v>
      </c>
      <c r="F16" s="4" t="s">
        <v>25</v>
      </c>
      <c r="G16" s="4">
        <v>-237</v>
      </c>
    </row>
    <row r="17" spans="1:7" x14ac:dyDescent="0.2">
      <c r="A17" s="8">
        <v>46314</v>
      </c>
      <c r="B17" s="9">
        <v>0.5606944444444445</v>
      </c>
      <c r="C17" s="6">
        <v>11.54297</v>
      </c>
      <c r="D17" s="4">
        <v>606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0.56070601851851853</v>
      </c>
      <c r="C18" s="6">
        <v>12.57422</v>
      </c>
      <c r="D18" s="4">
        <v>605</v>
      </c>
      <c r="E18" s="4" t="s">
        <v>25</v>
      </c>
      <c r="F18" s="4" t="s">
        <v>25</v>
      </c>
      <c r="G18" s="4">
        <v>-237</v>
      </c>
    </row>
    <row r="19" spans="1:7" x14ac:dyDescent="0.2">
      <c r="A19" s="8">
        <v>46314</v>
      </c>
      <c r="B19" s="9">
        <v>0.56071759259259257</v>
      </c>
      <c r="C19" s="6">
        <v>13.10547</v>
      </c>
      <c r="D19" s="4">
        <v>605</v>
      </c>
      <c r="E19" s="4" t="s">
        <v>25</v>
      </c>
      <c r="F19" s="4" t="s">
        <v>25</v>
      </c>
      <c r="G19" s="4">
        <v>4112</v>
      </c>
    </row>
    <row r="20" spans="1:7" x14ac:dyDescent="0.2">
      <c r="A20" s="8">
        <v>46314</v>
      </c>
      <c r="B20" s="9">
        <v>0.56072916666666661</v>
      </c>
      <c r="C20" s="6">
        <v>14.13672</v>
      </c>
      <c r="D20" s="4">
        <v>610</v>
      </c>
      <c r="E20" s="4" t="s">
        <v>25</v>
      </c>
      <c r="F20" s="4" t="s">
        <v>25</v>
      </c>
      <c r="G20" s="4">
        <v>-237</v>
      </c>
    </row>
    <row r="21" spans="1:7" x14ac:dyDescent="0.2">
      <c r="A21" s="8">
        <v>46314</v>
      </c>
      <c r="B21" s="9">
        <v>0.56072916666666661</v>
      </c>
      <c r="C21" s="6">
        <v>14.66797</v>
      </c>
      <c r="D21" s="4">
        <v>610</v>
      </c>
      <c r="E21" s="4" t="s">
        <v>25</v>
      </c>
      <c r="F21" s="4" t="s">
        <v>25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7597F-9839-4642-8A2F-0477B7F26B9F}">
  <dimension ref="A1:I58"/>
  <sheetViews>
    <sheetView workbookViewId="0">
      <selection activeCell="H14" sqref="H14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9" x14ac:dyDescent="0.2">
      <c r="A2" s="8">
        <v>46314</v>
      </c>
      <c r="B2" s="9">
        <v>0.56379629629629635</v>
      </c>
      <c r="C2" s="6">
        <v>1.8125</v>
      </c>
      <c r="D2" s="4">
        <v>630</v>
      </c>
      <c r="E2" s="4" t="s">
        <v>24</v>
      </c>
      <c r="F2" s="4" t="s">
        <v>24</v>
      </c>
      <c r="G2" s="4" t="s">
        <v>24</v>
      </c>
      <c r="I2">
        <f>AVERAGE(D2:D21)</f>
        <v>625.4</v>
      </c>
    </row>
    <row r="3" spans="1:9" x14ac:dyDescent="0.2">
      <c r="A3" s="8">
        <v>46314</v>
      </c>
      <c r="B3" s="9">
        <v>0.56379629629629635</v>
      </c>
      <c r="C3" s="6">
        <v>2.28125</v>
      </c>
      <c r="D3" s="4">
        <v>634</v>
      </c>
      <c r="E3" s="4" t="s">
        <v>24</v>
      </c>
      <c r="F3" s="4" t="s">
        <v>24</v>
      </c>
      <c r="G3" s="4" t="s">
        <v>24</v>
      </c>
      <c r="I3">
        <f>91*(1023-I2)/I2</f>
        <v>57.853533738407421</v>
      </c>
    </row>
    <row r="4" spans="1:9" x14ac:dyDescent="0.2">
      <c r="A4" s="8">
        <v>46314</v>
      </c>
      <c r="B4" s="9">
        <v>0.56380787037037039</v>
      </c>
      <c r="C4" s="6">
        <v>2.78125</v>
      </c>
      <c r="D4" s="4">
        <v>628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0.56380787037037039</v>
      </c>
      <c r="C5" s="6">
        <v>3.296875</v>
      </c>
      <c r="D5" s="4">
        <v>632</v>
      </c>
      <c r="E5" s="4" t="s">
        <v>28</v>
      </c>
      <c r="F5" s="10">
        <v>0.57999999999999996</v>
      </c>
      <c r="G5" s="4" t="s">
        <v>27</v>
      </c>
    </row>
    <row r="6" spans="1:9" x14ac:dyDescent="0.2">
      <c r="A6" s="8">
        <v>46314</v>
      </c>
      <c r="B6" s="9">
        <v>0.56381944444444443</v>
      </c>
      <c r="C6" s="6">
        <v>3.828125</v>
      </c>
      <c r="D6" s="4">
        <v>626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0.56383101851851847</v>
      </c>
      <c r="C7" s="6">
        <v>4.328125</v>
      </c>
      <c r="D7" s="4">
        <v>624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0.56383101851851847</v>
      </c>
      <c r="C8" s="6">
        <v>4.8242190000000003</v>
      </c>
      <c r="D8" s="4">
        <v>626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0.56384259259259262</v>
      </c>
      <c r="C9" s="6">
        <v>5.3242190000000003</v>
      </c>
      <c r="D9" s="4">
        <v>628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0.56384259259259262</v>
      </c>
      <c r="C10" s="6">
        <v>5.8398440000000003</v>
      </c>
      <c r="D10" s="4">
        <v>626</v>
      </c>
      <c r="E10" s="4" t="s">
        <v>28</v>
      </c>
      <c r="F10" s="10">
        <v>0.57999999999999996</v>
      </c>
      <c r="G10" s="4" t="s">
        <v>27</v>
      </c>
    </row>
    <row r="11" spans="1:9" x14ac:dyDescent="0.2">
      <c r="A11" s="8">
        <v>46314</v>
      </c>
      <c r="B11" s="9">
        <v>0.56385416666666666</v>
      </c>
      <c r="C11" s="6">
        <v>6.3710940000000003</v>
      </c>
      <c r="D11" s="4">
        <v>628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0.56385416666666666</v>
      </c>
      <c r="C12" s="6">
        <v>6.859375</v>
      </c>
      <c r="D12" s="4">
        <v>624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0.5638657407407407</v>
      </c>
      <c r="C13" s="6">
        <v>7.359375</v>
      </c>
      <c r="D13" s="4">
        <v>624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0.5638657407407407</v>
      </c>
      <c r="C14" s="6">
        <v>7.859375</v>
      </c>
      <c r="D14" s="4">
        <v>621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0.56387731481481485</v>
      </c>
      <c r="C15" s="6">
        <v>8.3789060000000006</v>
      </c>
      <c r="D15" s="4">
        <v>622</v>
      </c>
      <c r="E15" s="4" t="s">
        <v>25</v>
      </c>
      <c r="F15" s="10" t="s">
        <v>25</v>
      </c>
      <c r="G15" s="4">
        <v>21</v>
      </c>
    </row>
    <row r="16" spans="1:9" x14ac:dyDescent="0.2">
      <c r="A16" s="8">
        <v>46314</v>
      </c>
      <c r="B16" s="9">
        <v>0.56387731481481485</v>
      </c>
      <c r="C16" s="6">
        <v>8.90625</v>
      </c>
      <c r="D16" s="4">
        <v>619</v>
      </c>
      <c r="E16" s="4" t="s">
        <v>25</v>
      </c>
      <c r="F16" s="4" t="s">
        <v>25</v>
      </c>
      <c r="G16" s="4">
        <v>4112</v>
      </c>
    </row>
    <row r="17" spans="1:7" x14ac:dyDescent="0.2">
      <c r="A17" s="8">
        <v>46314</v>
      </c>
      <c r="B17" s="9">
        <v>0.56388888888888888</v>
      </c>
      <c r="C17" s="6">
        <v>9.4375</v>
      </c>
      <c r="D17" s="4">
        <v>622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0.56388888888888888</v>
      </c>
      <c r="C18" s="6">
        <v>9.96875</v>
      </c>
      <c r="D18" s="4">
        <v>621</v>
      </c>
      <c r="E18" s="4" t="s">
        <v>28</v>
      </c>
      <c r="F18" s="10">
        <v>0.56999999999999995</v>
      </c>
      <c r="G18" s="4" t="s">
        <v>27</v>
      </c>
    </row>
    <row r="19" spans="1:7" x14ac:dyDescent="0.2">
      <c r="A19" s="8">
        <v>46314</v>
      </c>
      <c r="B19" s="9">
        <v>0.56390046296296292</v>
      </c>
      <c r="C19" s="6">
        <v>10.48438</v>
      </c>
      <c r="D19" s="4">
        <v>624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0.56390046296296292</v>
      </c>
      <c r="C20" s="6">
        <v>10.98438</v>
      </c>
      <c r="D20" s="4">
        <v>625</v>
      </c>
      <c r="E20" s="4" t="s">
        <v>24</v>
      </c>
      <c r="F20" s="10" t="s">
        <v>24</v>
      </c>
      <c r="G20" s="4" t="s">
        <v>24</v>
      </c>
    </row>
    <row r="21" spans="1:7" x14ac:dyDescent="0.2">
      <c r="A21" s="8">
        <v>46314</v>
      </c>
      <c r="B21" s="9">
        <v>0.56391203703703707</v>
      </c>
      <c r="C21" s="6">
        <v>11.48438</v>
      </c>
      <c r="D21" s="4">
        <v>624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  <c r="F25" s="10"/>
    </row>
    <row r="26" spans="1:7" x14ac:dyDescent="0.2">
      <c r="A26" s="8"/>
      <c r="B26" s="9"/>
    </row>
    <row r="27" spans="1:7" x14ac:dyDescent="0.2">
      <c r="A27" s="8"/>
      <c r="B27" s="9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  <c r="F30" s="10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</row>
    <row r="34" spans="1:6" x14ac:dyDescent="0.2">
      <c r="A34" s="8"/>
      <c r="B34" s="9"/>
    </row>
    <row r="35" spans="1:6" x14ac:dyDescent="0.2">
      <c r="A35" s="8"/>
      <c r="B35" s="9"/>
      <c r="F35" s="10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</row>
    <row r="39" spans="1:6" x14ac:dyDescent="0.2">
      <c r="A39" s="8"/>
      <c r="B39" s="9"/>
    </row>
    <row r="40" spans="1:6" x14ac:dyDescent="0.2">
      <c r="A40" s="8"/>
      <c r="B40" s="9"/>
      <c r="F40" s="10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</row>
    <row r="45" spans="1:6" x14ac:dyDescent="0.2">
      <c r="A45" s="8"/>
      <c r="B45" s="9"/>
      <c r="F45" s="10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  <c r="F50" s="10"/>
    </row>
    <row r="51" spans="1:6" x14ac:dyDescent="0.2">
      <c r="A51" s="8"/>
      <c r="B51" s="9"/>
    </row>
    <row r="52" spans="1:6" x14ac:dyDescent="0.2">
      <c r="A52" s="8"/>
      <c r="B52" s="9"/>
    </row>
    <row r="53" spans="1:6" x14ac:dyDescent="0.2">
      <c r="A53" s="8"/>
      <c r="B53" s="9"/>
    </row>
    <row r="54" spans="1:6" x14ac:dyDescent="0.2">
      <c r="A54" s="8"/>
      <c r="B54" s="9"/>
    </row>
    <row r="55" spans="1:6" x14ac:dyDescent="0.2">
      <c r="A55" s="8"/>
      <c r="B55" s="9"/>
      <c r="F55" s="10"/>
    </row>
    <row r="56" spans="1:6" x14ac:dyDescent="0.2">
      <c r="A56" s="8"/>
      <c r="B56" s="9"/>
    </row>
    <row r="57" spans="1:6" x14ac:dyDescent="0.2">
      <c r="A57" s="8"/>
      <c r="B57" s="9"/>
    </row>
    <row r="58" spans="1:6" x14ac:dyDescent="0.2">
      <c r="A58" s="8"/>
      <c r="B58" s="9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1448D-DE99-423A-97E2-08D054511596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0.56486111111111115</v>
      </c>
      <c r="C2" s="6">
        <v>1.832031</v>
      </c>
      <c r="D2" s="4">
        <v>683</v>
      </c>
      <c r="E2" s="4" t="s">
        <v>24</v>
      </c>
      <c r="F2" s="4" t="s">
        <v>24</v>
      </c>
      <c r="G2" s="4" t="s">
        <v>24</v>
      </c>
      <c r="I2">
        <f>AVERAGE(D2:D21)</f>
        <v>674.65</v>
      </c>
    </row>
    <row r="3" spans="1:9" x14ac:dyDescent="0.2">
      <c r="A3" s="8">
        <v>46314</v>
      </c>
      <c r="B3" s="9">
        <v>0.56486111111111115</v>
      </c>
      <c r="C3" s="6">
        <v>2.2890630000000001</v>
      </c>
      <c r="D3" s="4">
        <v>681</v>
      </c>
      <c r="E3" s="4" t="s">
        <v>24</v>
      </c>
      <c r="F3" s="4" t="s">
        <v>24</v>
      </c>
      <c r="G3" s="4" t="s">
        <v>24</v>
      </c>
      <c r="I3">
        <f>91*(1023-I2)/I2</f>
        <v>46.987104424516424</v>
      </c>
    </row>
    <row r="4" spans="1:9" x14ac:dyDescent="0.2">
      <c r="A4" s="8">
        <v>46314</v>
      </c>
      <c r="B4" s="9">
        <v>0.56487268518518519</v>
      </c>
      <c r="C4" s="6">
        <v>2.7890630000000001</v>
      </c>
      <c r="D4" s="4">
        <v>682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0.56487268518518519</v>
      </c>
      <c r="C5" s="6">
        <v>3.3046880000000001</v>
      </c>
      <c r="D5" s="4">
        <v>683</v>
      </c>
      <c r="E5" s="4" t="s">
        <v>28</v>
      </c>
      <c r="F5" s="10">
        <v>0.56999999999999995</v>
      </c>
      <c r="G5" s="4" t="s">
        <v>27</v>
      </c>
    </row>
    <row r="6" spans="1:9" x14ac:dyDescent="0.2">
      <c r="A6" s="8">
        <v>46314</v>
      </c>
      <c r="B6" s="9">
        <v>0.56488425925925922</v>
      </c>
      <c r="C6" s="6">
        <v>3.8203130000000001</v>
      </c>
      <c r="D6" s="4">
        <v>677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0.56488425925925922</v>
      </c>
      <c r="C7" s="6">
        <v>4.3203129999999996</v>
      </c>
      <c r="D7" s="4">
        <v>678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0.56489583333333337</v>
      </c>
      <c r="C8" s="6">
        <v>4.8203129999999996</v>
      </c>
      <c r="D8" s="4">
        <v>676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0.56489583333333337</v>
      </c>
      <c r="C9" s="6">
        <v>5.3359379999999996</v>
      </c>
      <c r="D9" s="4">
        <v>674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0.56490740740740741</v>
      </c>
      <c r="C10" s="6">
        <v>5.8515629999999996</v>
      </c>
      <c r="D10" s="4">
        <v>676</v>
      </c>
      <c r="E10" s="4" t="s">
        <v>28</v>
      </c>
      <c r="F10" s="10">
        <v>0.56999999999999995</v>
      </c>
      <c r="G10" s="4" t="s">
        <v>27</v>
      </c>
    </row>
    <row r="11" spans="1:9" x14ac:dyDescent="0.2">
      <c r="A11" s="8">
        <v>46314</v>
      </c>
      <c r="B11" s="9">
        <v>0.56491898148148145</v>
      </c>
      <c r="C11" s="6">
        <v>6.3671879999999996</v>
      </c>
      <c r="D11" s="4">
        <v>672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0.56491898148148145</v>
      </c>
      <c r="C12" s="6">
        <v>6.8671879999999996</v>
      </c>
      <c r="D12" s="4">
        <v>673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0.5649305555555556</v>
      </c>
      <c r="C13" s="6">
        <v>7.3671879999999996</v>
      </c>
      <c r="D13" s="4">
        <v>671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0.5649305555555556</v>
      </c>
      <c r="C14" s="6">
        <v>7.8671879999999996</v>
      </c>
      <c r="D14" s="4">
        <v>674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0.56494212962962964</v>
      </c>
      <c r="C15" s="6">
        <v>8.3828130000000005</v>
      </c>
      <c r="D15" s="4">
        <v>671</v>
      </c>
      <c r="E15" s="4" t="s">
        <v>28</v>
      </c>
      <c r="F15" s="10">
        <v>0.56999999999999995</v>
      </c>
      <c r="G15" s="4" t="s">
        <v>27</v>
      </c>
    </row>
    <row r="16" spans="1:9" x14ac:dyDescent="0.2">
      <c r="A16" s="8">
        <v>46314</v>
      </c>
      <c r="B16" s="9">
        <v>0.56494212962962964</v>
      </c>
      <c r="C16" s="6">
        <v>8.9140630000000005</v>
      </c>
      <c r="D16" s="4">
        <v>673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0.56495370370370368</v>
      </c>
      <c r="C17" s="6">
        <v>9.4101560000000006</v>
      </c>
      <c r="D17" s="4">
        <v>670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0.56495370370370368</v>
      </c>
      <c r="C18" s="6">
        <v>9.9140630000000005</v>
      </c>
      <c r="D18" s="4">
        <v>668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0.56496527777777783</v>
      </c>
      <c r="C19" s="6">
        <v>10.414059999999999</v>
      </c>
      <c r="D19" s="4">
        <v>673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0.56497685185185187</v>
      </c>
      <c r="C20" s="6">
        <v>11.42188</v>
      </c>
      <c r="D20" s="4">
        <v>668</v>
      </c>
      <c r="E20" s="4" t="s">
        <v>25</v>
      </c>
      <c r="F20" s="4" t="s">
        <v>25</v>
      </c>
      <c r="G20" s="4">
        <v>-237</v>
      </c>
    </row>
    <row r="21" spans="1:7" x14ac:dyDescent="0.2">
      <c r="A21" s="8">
        <v>46314</v>
      </c>
      <c r="B21" s="9">
        <v>0.56497685185185187</v>
      </c>
      <c r="C21" s="6">
        <v>11.95313</v>
      </c>
      <c r="D21" s="4">
        <v>670</v>
      </c>
      <c r="E21" s="4" t="s">
        <v>25</v>
      </c>
      <c r="F21" s="4" t="s">
        <v>25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A7575-1C2A-47D6-ADD4-25675F05573A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0.56715277777777773</v>
      </c>
      <c r="C2" s="6">
        <v>1.796875</v>
      </c>
      <c r="D2" s="4">
        <v>485</v>
      </c>
      <c r="E2" s="4" t="s">
        <v>24</v>
      </c>
      <c r="F2" s="4" t="s">
        <v>24</v>
      </c>
      <c r="G2" s="4" t="s">
        <v>24</v>
      </c>
      <c r="I2">
        <f>AVERAGE(D2:D21)</f>
        <v>483.1</v>
      </c>
    </row>
    <row r="3" spans="1:9" x14ac:dyDescent="0.2">
      <c r="A3" s="8">
        <v>46314</v>
      </c>
      <c r="B3" s="9">
        <v>0.56715277777777773</v>
      </c>
      <c r="C3" s="6">
        <v>2.28125</v>
      </c>
      <c r="D3" s="4">
        <v>482</v>
      </c>
      <c r="E3" s="4" t="s">
        <v>24</v>
      </c>
      <c r="F3" s="4" t="s">
        <v>24</v>
      </c>
      <c r="G3" s="4" t="s">
        <v>24</v>
      </c>
      <c r="I3">
        <f>91*(1023-I2)/I2</f>
        <v>101.69923411302008</v>
      </c>
    </row>
    <row r="4" spans="1:9" x14ac:dyDescent="0.2">
      <c r="A4" s="8">
        <v>46314</v>
      </c>
      <c r="B4" s="9">
        <v>0.56716435185185188</v>
      </c>
      <c r="C4" s="6">
        <v>2.78125</v>
      </c>
      <c r="D4" s="4">
        <v>486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0.56716435185185188</v>
      </c>
      <c r="C5" s="6">
        <v>3.2929689999999998</v>
      </c>
      <c r="D5" s="4">
        <v>479</v>
      </c>
      <c r="E5" s="4" t="s">
        <v>28</v>
      </c>
      <c r="F5" s="10">
        <v>0.56000000000000005</v>
      </c>
      <c r="G5" s="4" t="s">
        <v>27</v>
      </c>
    </row>
    <row r="6" spans="1:9" x14ac:dyDescent="0.2">
      <c r="A6" s="8">
        <v>46314</v>
      </c>
      <c r="B6" s="9">
        <v>0.56717592592592592</v>
      </c>
      <c r="C6" s="6">
        <v>3.8125</v>
      </c>
      <c r="D6" s="4">
        <v>481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0.56717592592592592</v>
      </c>
      <c r="C7" s="6">
        <v>4.3085940000000003</v>
      </c>
      <c r="D7" s="4">
        <v>483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0.56718749999999996</v>
      </c>
      <c r="C8" s="6">
        <v>4.8242190000000003</v>
      </c>
      <c r="D8" s="4">
        <v>483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0.56718749999999996</v>
      </c>
      <c r="C9" s="6">
        <v>5.3242190000000003</v>
      </c>
      <c r="D9" s="4">
        <v>486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0.56719907407407411</v>
      </c>
      <c r="C10" s="6">
        <v>5.8398440000000003</v>
      </c>
      <c r="D10" s="4">
        <v>480</v>
      </c>
      <c r="E10" s="4" t="s">
        <v>28</v>
      </c>
      <c r="F10" s="10">
        <v>0.56000000000000005</v>
      </c>
      <c r="G10" s="4" t="s">
        <v>27</v>
      </c>
    </row>
    <row r="11" spans="1:9" x14ac:dyDescent="0.2">
      <c r="A11" s="8">
        <v>46314</v>
      </c>
      <c r="B11" s="9">
        <v>0.56719907407407411</v>
      </c>
      <c r="C11" s="6">
        <v>6.3554690000000003</v>
      </c>
      <c r="D11" s="4">
        <v>482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0.56721064814814814</v>
      </c>
      <c r="C12" s="6">
        <v>6.8554690000000003</v>
      </c>
      <c r="D12" s="4">
        <v>486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0.56721064814814814</v>
      </c>
      <c r="C13" s="6">
        <v>7.3554690000000003</v>
      </c>
      <c r="D13" s="4">
        <v>486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0.56722222222222218</v>
      </c>
      <c r="C14" s="6">
        <v>7.8554690000000003</v>
      </c>
      <c r="D14" s="4">
        <v>480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0.56722222222222218</v>
      </c>
      <c r="C15" s="6">
        <v>8.3710939999999994</v>
      </c>
      <c r="D15" s="4">
        <v>480</v>
      </c>
      <c r="E15" s="4" t="s">
        <v>28</v>
      </c>
      <c r="F15" s="10">
        <v>0.56000000000000005</v>
      </c>
      <c r="G15" s="4" t="s">
        <v>27</v>
      </c>
    </row>
    <row r="16" spans="1:9" x14ac:dyDescent="0.2">
      <c r="A16" s="8">
        <v>46314</v>
      </c>
      <c r="B16" s="9">
        <v>0.56723379629629633</v>
      </c>
      <c r="C16" s="6">
        <v>8.9023439999999994</v>
      </c>
      <c r="D16" s="4">
        <v>482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0.56723379629629633</v>
      </c>
      <c r="C17" s="6">
        <v>9.4023439999999994</v>
      </c>
      <c r="D17" s="4">
        <v>483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0.56724537037037037</v>
      </c>
      <c r="C18" s="6">
        <v>9.9023439999999994</v>
      </c>
      <c r="D18" s="4">
        <v>486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46314</v>
      </c>
      <c r="B19" s="9">
        <v>0.56724537037037037</v>
      </c>
      <c r="C19" s="6">
        <v>10.402340000000001</v>
      </c>
      <c r="D19" s="4">
        <v>485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0.56725694444444441</v>
      </c>
      <c r="C20" s="6">
        <v>10.914059999999999</v>
      </c>
      <c r="D20" s="4">
        <v>484</v>
      </c>
      <c r="E20" s="4" t="s">
        <v>28</v>
      </c>
      <c r="F20" s="10">
        <v>0.56000000000000005</v>
      </c>
      <c r="G20" s="4" t="s">
        <v>27</v>
      </c>
    </row>
    <row r="21" spans="1:7" x14ac:dyDescent="0.2">
      <c r="A21" s="8">
        <v>46314</v>
      </c>
      <c r="B21" s="9">
        <v>0.56725694444444441</v>
      </c>
      <c r="C21" s="6">
        <v>11.445309999999999</v>
      </c>
      <c r="D21" s="4">
        <v>483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4322-0980-49DB-9B5B-C685E88225C1}">
  <dimension ref="A1:I22"/>
  <sheetViews>
    <sheetView workbookViewId="0">
      <selection activeCell="I19" sqref="I19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0.56868055555555552</v>
      </c>
      <c r="C2" s="6">
        <v>1.8125</v>
      </c>
      <c r="D2" s="4">
        <v>438</v>
      </c>
      <c r="E2" s="4" t="s">
        <v>24</v>
      </c>
      <c r="F2" s="4" t="s">
        <v>24</v>
      </c>
      <c r="G2" s="4" t="s">
        <v>24</v>
      </c>
      <c r="I2">
        <f>AVERAGE(D2:D21)</f>
        <v>438.55</v>
      </c>
    </row>
    <row r="3" spans="1:9" x14ac:dyDescent="0.2">
      <c r="A3" s="8">
        <v>46314</v>
      </c>
      <c r="B3" s="9">
        <v>0.56869212962962967</v>
      </c>
      <c r="C3" s="6">
        <v>2.28125</v>
      </c>
      <c r="D3" s="4">
        <v>435</v>
      </c>
      <c r="E3" s="4" t="s">
        <v>24</v>
      </c>
      <c r="F3" s="4" t="s">
        <v>24</v>
      </c>
      <c r="G3" s="4" t="s">
        <v>24</v>
      </c>
      <c r="I3">
        <f>91*(1023-I2)/I2</f>
        <v>121.27454110135675</v>
      </c>
    </row>
    <row r="4" spans="1:9" x14ac:dyDescent="0.2">
      <c r="A4" s="8">
        <v>46314</v>
      </c>
      <c r="B4" s="9">
        <v>0.56869212962962967</v>
      </c>
      <c r="C4" s="6">
        <v>2.7929689999999998</v>
      </c>
      <c r="D4" s="4">
        <v>441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0.56870370370370371</v>
      </c>
      <c r="C5" s="6">
        <v>3.3125</v>
      </c>
      <c r="D5" s="4">
        <v>435</v>
      </c>
      <c r="E5" s="4" t="s">
        <v>28</v>
      </c>
      <c r="F5" s="10">
        <v>0.56000000000000005</v>
      </c>
      <c r="G5" s="4" t="s">
        <v>27</v>
      </c>
    </row>
    <row r="6" spans="1:9" x14ac:dyDescent="0.2">
      <c r="A6" s="8">
        <v>46314</v>
      </c>
      <c r="B6" s="9">
        <v>0.56870370370370371</v>
      </c>
      <c r="C6" s="6">
        <v>3.8320310000000002</v>
      </c>
      <c r="D6" s="4">
        <v>436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0.56871527777777775</v>
      </c>
      <c r="C7" s="6">
        <v>4.3398440000000003</v>
      </c>
      <c r="D7" s="4">
        <v>435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0.56871527777777775</v>
      </c>
      <c r="C8" s="6">
        <v>4.8242190000000003</v>
      </c>
      <c r="D8" s="4">
        <v>435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0.5687268518518519</v>
      </c>
      <c r="C9" s="6">
        <v>5.3242190000000003</v>
      </c>
      <c r="D9" s="4">
        <v>442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0.5687268518518519</v>
      </c>
      <c r="C10" s="6">
        <v>5.8476559999999997</v>
      </c>
      <c r="D10" s="4">
        <v>435</v>
      </c>
      <c r="E10" s="4" t="s">
        <v>25</v>
      </c>
      <c r="F10" s="4" t="s">
        <v>25</v>
      </c>
      <c r="G10" s="4">
        <v>21</v>
      </c>
    </row>
    <row r="11" spans="1:9" x14ac:dyDescent="0.2">
      <c r="A11" s="8">
        <v>46314</v>
      </c>
      <c r="B11" s="9">
        <v>0.56873842592592594</v>
      </c>
      <c r="C11" s="6">
        <v>6.375</v>
      </c>
      <c r="D11" s="4">
        <v>437</v>
      </c>
      <c r="E11" s="4" t="s">
        <v>25</v>
      </c>
      <c r="F11" s="4" t="s">
        <v>25</v>
      </c>
      <c r="G11" s="4">
        <v>4112</v>
      </c>
    </row>
    <row r="12" spans="1:9" x14ac:dyDescent="0.2">
      <c r="A12" s="8">
        <v>46314</v>
      </c>
      <c r="B12" s="9">
        <v>0.56873842592592594</v>
      </c>
      <c r="C12" s="6">
        <v>6.890625</v>
      </c>
      <c r="D12" s="4">
        <v>442</v>
      </c>
      <c r="E12" s="4" t="s">
        <v>25</v>
      </c>
      <c r="F12" s="4" t="s">
        <v>25</v>
      </c>
      <c r="G12" s="4">
        <v>4112</v>
      </c>
    </row>
    <row r="13" spans="1:9" x14ac:dyDescent="0.2">
      <c r="A13" s="8">
        <v>46314</v>
      </c>
      <c r="B13" s="9">
        <v>0.56874999999999998</v>
      </c>
      <c r="C13" s="6">
        <v>7.421875</v>
      </c>
      <c r="D13" s="4">
        <v>437</v>
      </c>
      <c r="E13" s="4" t="s">
        <v>28</v>
      </c>
      <c r="F13" s="10">
        <v>0.56000000000000005</v>
      </c>
      <c r="G13" s="4" t="s">
        <v>27</v>
      </c>
    </row>
    <row r="14" spans="1:9" x14ac:dyDescent="0.2">
      <c r="A14" s="8">
        <v>46314</v>
      </c>
      <c r="B14" s="9">
        <v>0.56874999999999998</v>
      </c>
      <c r="C14" s="6">
        <v>7.9570309999999997</v>
      </c>
      <c r="D14" s="4">
        <v>437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0.56876157407407413</v>
      </c>
      <c r="C15" s="6">
        <v>8.4570310000000006</v>
      </c>
      <c r="D15" s="4">
        <v>443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46314</v>
      </c>
      <c r="B16" s="9">
        <v>0.56876157407407413</v>
      </c>
      <c r="C16" s="6">
        <v>8.953125</v>
      </c>
      <c r="D16" s="4">
        <v>442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46314</v>
      </c>
      <c r="B17" s="9">
        <v>0.56877314814814817</v>
      </c>
      <c r="C17" s="6">
        <v>9.4570310000000006</v>
      </c>
      <c r="D17" s="4">
        <v>438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46314</v>
      </c>
      <c r="B18" s="9">
        <v>0.56877314814814817</v>
      </c>
      <c r="C18" s="6">
        <v>9.9726560000000006</v>
      </c>
      <c r="D18" s="4">
        <v>440</v>
      </c>
      <c r="E18" s="4" t="s">
        <v>28</v>
      </c>
      <c r="F18" s="10">
        <v>0.56000000000000005</v>
      </c>
      <c r="G18" s="4" t="s">
        <v>27</v>
      </c>
    </row>
    <row r="19" spans="1:7" x14ac:dyDescent="0.2">
      <c r="A19" s="8">
        <v>46314</v>
      </c>
      <c r="B19" s="9">
        <v>0.56878472222222221</v>
      </c>
      <c r="C19" s="6">
        <v>10.48438</v>
      </c>
      <c r="D19" s="4">
        <v>443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0.56878472222222221</v>
      </c>
      <c r="C20" s="6">
        <v>11</v>
      </c>
      <c r="D20" s="4">
        <v>442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46314</v>
      </c>
      <c r="B21" s="9">
        <v>0.56879629629629624</v>
      </c>
      <c r="C21" s="6">
        <v>11.5</v>
      </c>
      <c r="D21" s="4">
        <v>438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4481-8395-4B7D-BB71-F2D6292F1D63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46314</v>
      </c>
      <c r="B2" s="9">
        <v>0.56990740740740742</v>
      </c>
      <c r="C2" s="6">
        <v>1.8125</v>
      </c>
      <c r="D2" s="4">
        <v>422</v>
      </c>
      <c r="E2" s="4" t="s">
        <v>24</v>
      </c>
      <c r="F2" s="4" t="s">
        <v>24</v>
      </c>
      <c r="G2" s="4" t="s">
        <v>24</v>
      </c>
      <c r="I2">
        <f>AVERAGE(D2:D21)</f>
        <v>420.5</v>
      </c>
    </row>
    <row r="3" spans="1:9" x14ac:dyDescent="0.2">
      <c r="A3" s="8">
        <v>46314</v>
      </c>
      <c r="B3" s="9">
        <v>0.56990740740740742</v>
      </c>
      <c r="C3" s="6">
        <v>2.28125</v>
      </c>
      <c r="D3" s="4">
        <v>419</v>
      </c>
      <c r="E3" s="4" t="s">
        <v>24</v>
      </c>
      <c r="F3" s="4" t="s">
        <v>24</v>
      </c>
      <c r="G3" s="4" t="s">
        <v>24</v>
      </c>
      <c r="I3">
        <f>91*(1023-I2)/I2</f>
        <v>130.38644470868013</v>
      </c>
    </row>
    <row r="4" spans="1:9" x14ac:dyDescent="0.2">
      <c r="A4" s="8">
        <v>46314</v>
      </c>
      <c r="B4" s="9">
        <v>0.56991898148148146</v>
      </c>
      <c r="C4" s="6">
        <v>2.78125</v>
      </c>
      <c r="D4" s="4">
        <v>422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46314</v>
      </c>
      <c r="B5" s="9">
        <v>0.56991898148148146</v>
      </c>
      <c r="C5" s="6">
        <v>3.296875</v>
      </c>
      <c r="D5" s="4">
        <v>421</v>
      </c>
      <c r="E5" s="4" t="s">
        <v>28</v>
      </c>
      <c r="F5" s="10">
        <v>0.56000000000000005</v>
      </c>
      <c r="G5" s="4" t="s">
        <v>27</v>
      </c>
    </row>
    <row r="6" spans="1:9" x14ac:dyDescent="0.2">
      <c r="A6" s="8">
        <v>46314</v>
      </c>
      <c r="B6" s="9">
        <v>0.56993055555555561</v>
      </c>
      <c r="C6" s="6">
        <v>3.828125</v>
      </c>
      <c r="D6" s="4">
        <v>421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46314</v>
      </c>
      <c r="B7" s="9">
        <v>0.56993055555555561</v>
      </c>
      <c r="C7" s="6">
        <v>4.328125</v>
      </c>
      <c r="D7" s="4">
        <v>422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46314</v>
      </c>
      <c r="B8" s="9">
        <v>0.56994212962962965</v>
      </c>
      <c r="C8" s="6">
        <v>4.828125</v>
      </c>
      <c r="D8" s="4">
        <v>422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46314</v>
      </c>
      <c r="B9" s="9">
        <v>0.56994212962962965</v>
      </c>
      <c r="C9" s="6">
        <v>5.328125</v>
      </c>
      <c r="D9" s="4">
        <v>422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46314</v>
      </c>
      <c r="B10" s="9">
        <v>0.56995370370370368</v>
      </c>
      <c r="C10" s="6">
        <v>5.84375</v>
      </c>
      <c r="D10" s="4">
        <v>418</v>
      </c>
      <c r="E10" s="4" t="s">
        <v>28</v>
      </c>
      <c r="F10" s="10">
        <v>0.56000000000000005</v>
      </c>
      <c r="G10" s="4" t="s">
        <v>27</v>
      </c>
    </row>
    <row r="11" spans="1:9" x14ac:dyDescent="0.2">
      <c r="A11" s="8">
        <v>46314</v>
      </c>
      <c r="B11" s="9">
        <v>0.56995370370370368</v>
      </c>
      <c r="C11" s="6">
        <v>6.375</v>
      </c>
      <c r="D11" s="4">
        <v>424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46314</v>
      </c>
      <c r="B12" s="9">
        <v>0.56996527777777772</v>
      </c>
      <c r="C12" s="6">
        <v>6.875</v>
      </c>
      <c r="D12" s="4">
        <v>422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46314</v>
      </c>
      <c r="B13" s="9">
        <v>0.56996527777777772</v>
      </c>
      <c r="C13" s="6">
        <v>7.375</v>
      </c>
      <c r="D13" s="4">
        <v>417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46314</v>
      </c>
      <c r="B14" s="9">
        <v>0.56997685185185187</v>
      </c>
      <c r="C14" s="6">
        <v>7.875</v>
      </c>
      <c r="D14" s="4">
        <v>421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46314</v>
      </c>
      <c r="B15" s="9">
        <v>0.56997685185185187</v>
      </c>
      <c r="C15" s="6">
        <v>8.390625</v>
      </c>
      <c r="D15" s="4">
        <v>425</v>
      </c>
      <c r="E15" s="4" t="s">
        <v>25</v>
      </c>
      <c r="F15" s="4" t="s">
        <v>25</v>
      </c>
      <c r="G15" s="4">
        <v>21</v>
      </c>
    </row>
    <row r="16" spans="1:9" x14ac:dyDescent="0.2">
      <c r="A16" s="8">
        <v>46314</v>
      </c>
      <c r="B16" s="9">
        <v>0.56998842592592591</v>
      </c>
      <c r="C16" s="6">
        <v>8.9179689999999994</v>
      </c>
      <c r="D16" s="4">
        <v>420</v>
      </c>
      <c r="E16" s="4" t="s">
        <v>25</v>
      </c>
      <c r="F16" s="4" t="s">
        <v>25</v>
      </c>
      <c r="G16" s="4">
        <v>6160</v>
      </c>
    </row>
    <row r="17" spans="1:7" x14ac:dyDescent="0.2">
      <c r="A17" s="8">
        <v>46314</v>
      </c>
      <c r="B17" s="9">
        <v>0.56998842592592591</v>
      </c>
      <c r="C17" s="6">
        <v>9.4375</v>
      </c>
      <c r="D17" s="4">
        <v>417</v>
      </c>
      <c r="E17" s="4" t="s">
        <v>25</v>
      </c>
      <c r="F17" s="4" t="s">
        <v>25</v>
      </c>
      <c r="G17" s="4">
        <v>4112</v>
      </c>
    </row>
    <row r="18" spans="1:7" x14ac:dyDescent="0.2">
      <c r="A18" s="8">
        <v>46314</v>
      </c>
      <c r="B18" s="9">
        <v>0.56999999999999995</v>
      </c>
      <c r="C18" s="6">
        <v>9.9648439999999994</v>
      </c>
      <c r="D18" s="4">
        <v>418</v>
      </c>
      <c r="E18" s="4" t="s">
        <v>28</v>
      </c>
      <c r="F18" s="10">
        <v>0.56000000000000005</v>
      </c>
      <c r="G18" s="4" t="s">
        <v>27</v>
      </c>
    </row>
    <row r="19" spans="1:7" x14ac:dyDescent="0.2">
      <c r="A19" s="8">
        <v>46314</v>
      </c>
      <c r="B19" s="9">
        <v>0.56999999999999995</v>
      </c>
      <c r="C19" s="6">
        <v>10.496090000000001</v>
      </c>
      <c r="D19" s="4">
        <v>420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46314</v>
      </c>
      <c r="B20" s="9">
        <v>0.5700115740740741</v>
      </c>
      <c r="C20" s="6">
        <v>10.996090000000001</v>
      </c>
      <c r="D20" s="4">
        <v>418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46314</v>
      </c>
      <c r="B21" s="9">
        <v>0.5700115740740741</v>
      </c>
      <c r="C21" s="6">
        <v>11.496090000000001</v>
      </c>
      <c r="D21" s="4">
        <v>419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>
      <c r="I2" t="e">
        <f>AVERAGE(D2:D21)</f>
        <v>#DIV/0!</v>
      </c>
    </row>
    <row r="3" spans="2:13" ht="12.75" customHeight="1" x14ac:dyDescent="0.2">
      <c r="B3" s="1" t="s">
        <v>0</v>
      </c>
      <c r="C3" s="3">
        <v>3</v>
      </c>
      <c r="E3" s="11" t="s">
        <v>3</v>
      </c>
      <c r="F3" s="12"/>
      <c r="I3" t="e">
        <f>91*(1023-I2)/I2</f>
        <v>#DIV/0!</v>
      </c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36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去離子空白</vt:lpstr>
      <vt:lpstr>降溫30</vt:lpstr>
      <vt:lpstr>降溫40</vt:lpstr>
      <vt:lpstr>降溫50</vt:lpstr>
      <vt:lpstr>降溫60</vt:lpstr>
      <vt:lpstr>降溫70</vt:lpstr>
      <vt:lpstr>降溫80</vt:lpstr>
      <vt:lpstr>升溫30</vt:lpstr>
      <vt:lpstr>升溫40</vt:lpstr>
      <vt:lpstr>升溫50</vt:lpstr>
      <vt:lpstr>升溫60</vt:lpstr>
      <vt:lpstr>升溫70</vt:lpstr>
      <vt:lpstr>升溫80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2026-10-19T06:11:30Z</dcterms:modified>
</cp:coreProperties>
</file>