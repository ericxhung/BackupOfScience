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Excel\"/>
    </mc:Choice>
  </mc:AlternateContent>
  <xr:revisionPtr revIDLastSave="0" documentId="13_ncr:1_{9AD14F3A-75B0-4577-BE6C-88D5716BBF64}" xr6:coauthVersionLast="47" xr6:coauthVersionMax="47" xr10:uidLastSave="{00000000-0000-0000-0000-000000000000}"/>
  <bookViews>
    <workbookView xWindow="-120" yWindow="-120" windowWidth="20730" windowHeight="11160" tabRatio="795" activeTab="1" xr2:uid="{00000000-000D-0000-FFFF-FFFF00000000}"/>
  </bookViews>
  <sheets>
    <sheet name="氣溫紀錄" sheetId="36" r:id="rId1"/>
    <sheet name="A2" sheetId="37" r:id="rId2"/>
    <sheet name="A3" sheetId="39" r:id="rId3"/>
    <sheet name="A4" sheetId="41" r:id="rId4"/>
    <sheet name="B2" sheetId="38" r:id="rId5"/>
    <sheet name="B3" sheetId="40" r:id="rId6"/>
    <sheet name="B4" sheetId="42" r:id="rId7"/>
    <sheet name="PLXDAQ_new_Settings" sheetId="6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42" l="1"/>
  <c r="H2" i="40"/>
  <c r="H2" i="38"/>
  <c r="H2" i="41"/>
  <c r="H2" i="39"/>
  <c r="H2" i="37"/>
  <c r="G2" i="42"/>
  <c r="G2" i="40"/>
  <c r="G2" i="38"/>
  <c r="G2" i="41"/>
  <c r="G2" i="39"/>
  <c r="G2" i="37"/>
</calcChain>
</file>

<file path=xl/sharedStrings.xml><?xml version="1.0" encoding="utf-8"?>
<sst xmlns="http://schemas.openxmlformats.org/spreadsheetml/2006/main" count="315" uniqueCount="36">
  <si>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</si>
  <si>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</si>
  <si>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</si>
  <si>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</si>
  <si>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</si>
  <si>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</si>
  <si>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</si>
  <si>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</si>
  <si>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</si>
  <si>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</si>
  <si>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</si>
  <si>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</si>
  <si>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</si>
  <si>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</si>
  <si>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</si>
  <si>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</si>
  <si>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</si>
  <si>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Data</t>
  </si>
  <si>
    <t>Time</t>
  </si>
  <si>
    <t>Timer</t>
  </si>
  <si>
    <t>T</t>
  </si>
  <si>
    <t>H</t>
  </si>
  <si>
    <t>Error Code</t>
  </si>
  <si>
    <t>27.00 C</t>
  </si>
  <si>
    <t>NULL</t>
  </si>
  <si>
    <t>Error</t>
  </si>
  <si>
    <t>Time</t>
    <phoneticPr fontId="4" type="noConversion"/>
  </si>
  <si>
    <t>Timer</t>
    <phoneticPr fontId="4" type="noConversion"/>
  </si>
  <si>
    <t>Data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</si>
  <si>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</si>
  <si>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</si>
  <si>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</si>
  <si>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28.00 C</t>
  </si>
  <si>
    <t>B4</t>
    <phoneticPr fontId="4" type="noConversion"/>
  </si>
  <si>
    <t>平均</t>
    <phoneticPr fontId="4" type="noConversion"/>
  </si>
  <si>
    <r>
      <rPr>
        <sz val="10"/>
        <rFont val="新細明體"/>
        <family val="2"/>
        <charset val="136"/>
      </rPr>
      <t>單位</t>
    </r>
    <r>
      <rPr>
        <sz val="10"/>
        <rFont val="Arial"/>
        <family val="2"/>
      </rPr>
      <t>:K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</si>
</sst>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9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  <font>
      <sz val="10"/>
      <name val="細明體"/>
      <family val="2"/>
      <charset val="136"/>
    </font>
    <font>
      <sz val="10"/>
      <name val="新細明體"/>
      <family val="2"/>
      <charset val="136"/>
    </font>
    <font>
      <sz val="10"/>
      <name val="Arial"/>
      <family val="2"/>
      <charset val="136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F5"/>
  <sheetViews>
    <sheetView workbookViewId="0">
      <selection activeCell="D5" sqref="D5"/>
    </sheetView>
  </sheetViews>
  <sheetFormatPr defaultRowHeight="12.75" x14ac:dyDescent="0.2"/>
  <cols>
    <col min="1" max="1" width="15.7109375" style="4" customWidth="1"/>
    <col min="2" max="2" width="9.140625" style="6"/>
    <col min="3" max="6" width="9.140625" style="4"/>
  </cols>
  <sheetData>
    <row r="1" spans="1:6" x14ac:dyDescent="0.2">
      <c r="A1" s="5" t="s">
        <v>18</v>
      </c>
      <c r="B1" s="7" t="s">
        <v>19</v>
      </c>
      <c r="C1" s="5" t="s">
        <v>17</v>
      </c>
      <c r="D1" s="5" t="s">
        <v>20</v>
      </c>
      <c r="E1" s="5" t="s">
        <v>21</v>
      </c>
      <c r="F1" s="5" t="s">
        <v>22</v>
      </c>
    </row>
    <row r="2" spans="1:6" x14ac:dyDescent="0.2">
      <c r="A2" s="8">
        <v>0.70868055555555554</v>
      </c>
      <c r="B2" s="6">
        <v>1.878906</v>
      </c>
      <c r="C2" s="4">
        <v>0</v>
      </c>
      <c r="D2" s="4" t="s">
        <v>23</v>
      </c>
      <c r="E2" s="9">
        <v>0.69</v>
      </c>
      <c r="F2" s="4" t="s">
        <v>24</v>
      </c>
    </row>
    <row r="3" spans="1:6" x14ac:dyDescent="0.2">
      <c r="A3" s="8">
        <v>0.70870370370370372</v>
      </c>
      <c r="B3" s="6">
        <v>3.8242189999999998</v>
      </c>
      <c r="C3" s="4">
        <v>0</v>
      </c>
      <c r="D3" s="4" t="s">
        <v>23</v>
      </c>
      <c r="E3" s="9">
        <v>0.69</v>
      </c>
      <c r="F3" s="4" t="s">
        <v>24</v>
      </c>
    </row>
    <row r="4" spans="1:6" x14ac:dyDescent="0.2">
      <c r="A4" s="8">
        <v>0.7087268518518518</v>
      </c>
      <c r="B4" s="6">
        <v>5.859375</v>
      </c>
      <c r="C4" s="4">
        <v>0</v>
      </c>
      <c r="D4" s="4" t="s">
        <v>23</v>
      </c>
      <c r="E4" s="9">
        <v>0.69</v>
      </c>
      <c r="F4" s="4" t="s">
        <v>24</v>
      </c>
    </row>
    <row r="5" spans="1:6" x14ac:dyDescent="0.2">
      <c r="A5" s="8">
        <v>0.70874999999999999</v>
      </c>
      <c r="B5" s="6">
        <v>7.8945309999999997</v>
      </c>
      <c r="C5" s="4">
        <v>0</v>
      </c>
      <c r="D5" s="4" t="s">
        <v>23</v>
      </c>
      <c r="E5" s="9">
        <v>0.69</v>
      </c>
      <c r="F5" s="4" t="s">
        <v>24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F175E-AA36-4DAE-B966-CB6CF2D3876B}">
  <dimension ref="A1:I21"/>
  <sheetViews>
    <sheetView tabSelected="1" workbookViewId="0">
      <selection activeCell="C2" sqref="C2:C21"/>
    </sheetView>
  </sheetViews>
  <sheetFormatPr defaultRowHeight="12.75" x14ac:dyDescent="0.2"/>
  <cols>
    <col min="1" max="1" width="12.140625" style="4" customWidth="1"/>
    <col min="2" max="2" width="12.140625" style="6" customWidth="1"/>
    <col min="3" max="5" width="9.140625" style="4"/>
    <col min="6" max="6" width="10.42578125" style="4" customWidth="1"/>
  </cols>
  <sheetData>
    <row r="1" spans="1:9" ht="14.25" x14ac:dyDescent="0.25">
      <c r="A1" s="5" t="s">
        <v>18</v>
      </c>
      <c r="B1" s="7" t="s">
        <v>19</v>
      </c>
      <c r="C1" s="5" t="s">
        <v>17</v>
      </c>
      <c r="D1" s="5" t="s">
        <v>20</v>
      </c>
      <c r="E1" s="5" t="s">
        <v>21</v>
      </c>
      <c r="F1" s="5" t="s">
        <v>22</v>
      </c>
      <c r="G1" s="11" t="s">
        <v>34</v>
      </c>
    </row>
    <row r="2" spans="1:9" ht="14.25" x14ac:dyDescent="0.25">
      <c r="A2" s="8">
        <v>0.72520833333333334</v>
      </c>
      <c r="B2" s="6">
        <v>1.839844</v>
      </c>
      <c r="C2" s="4">
        <v>947</v>
      </c>
      <c r="D2" s="4" t="s">
        <v>25</v>
      </c>
      <c r="E2" s="4" t="s">
        <v>25</v>
      </c>
      <c r="F2" s="4">
        <v>21</v>
      </c>
      <c r="G2">
        <f>AVERAGE(C2:C21)</f>
        <v>931</v>
      </c>
      <c r="H2">
        <f>91*(1023-G2)/G2</f>
        <v>8.9924812030075181</v>
      </c>
      <c r="I2" s="12" t="s">
        <v>35</v>
      </c>
    </row>
    <row r="3" spans="1:9" x14ac:dyDescent="0.2">
      <c r="A3" s="8">
        <v>0.72523148148148153</v>
      </c>
      <c r="B3" s="6">
        <v>3.8203130000000001</v>
      </c>
      <c r="C3" s="4">
        <v>943</v>
      </c>
      <c r="D3" s="4" t="s">
        <v>23</v>
      </c>
      <c r="E3" s="9">
        <v>0.59</v>
      </c>
      <c r="F3" s="4" t="s">
        <v>24</v>
      </c>
    </row>
    <row r="4" spans="1:9" x14ac:dyDescent="0.2">
      <c r="A4" s="8">
        <v>0.72525462962962961</v>
      </c>
      <c r="B4" s="6">
        <v>5.859375</v>
      </c>
      <c r="C4" s="4">
        <v>941</v>
      </c>
      <c r="D4" s="4" t="s">
        <v>23</v>
      </c>
      <c r="E4" s="9">
        <v>0.59</v>
      </c>
      <c r="F4" s="4" t="s">
        <v>24</v>
      </c>
    </row>
    <row r="5" spans="1:9" x14ac:dyDescent="0.2">
      <c r="A5" s="8">
        <v>0.7252777777777778</v>
      </c>
      <c r="B5" s="6">
        <v>8.09375</v>
      </c>
      <c r="C5" s="4">
        <v>938</v>
      </c>
      <c r="D5" s="4" t="s">
        <v>23</v>
      </c>
      <c r="E5" s="9">
        <v>0.59</v>
      </c>
      <c r="F5" s="4" t="s">
        <v>24</v>
      </c>
    </row>
    <row r="6" spans="1:9" x14ac:dyDescent="0.2">
      <c r="A6" s="8">
        <v>0.72530092592592588</v>
      </c>
      <c r="B6" s="6">
        <v>9.9453130000000005</v>
      </c>
      <c r="C6" s="4">
        <v>937</v>
      </c>
      <c r="D6" s="4" t="s">
        <v>23</v>
      </c>
      <c r="E6" s="9">
        <v>0.59</v>
      </c>
      <c r="F6" s="4" t="s">
        <v>24</v>
      </c>
    </row>
    <row r="7" spans="1:9" x14ac:dyDescent="0.2">
      <c r="A7" s="8">
        <v>0.72532407407407407</v>
      </c>
      <c r="B7" s="6">
        <v>11.98828</v>
      </c>
      <c r="C7" s="4">
        <v>934</v>
      </c>
      <c r="D7" s="4" t="s">
        <v>23</v>
      </c>
      <c r="E7" s="9">
        <v>0.59</v>
      </c>
      <c r="F7" s="4" t="s">
        <v>24</v>
      </c>
    </row>
    <row r="8" spans="1:9" x14ac:dyDescent="0.2">
      <c r="A8" s="8">
        <v>0.72534722222222225</v>
      </c>
      <c r="B8" s="6">
        <v>14.01953</v>
      </c>
      <c r="C8" s="4">
        <v>932</v>
      </c>
      <c r="D8" s="4" t="s">
        <v>23</v>
      </c>
      <c r="E8" s="9">
        <v>0.59</v>
      </c>
      <c r="F8" s="4" t="s">
        <v>24</v>
      </c>
    </row>
    <row r="9" spans="1:9" x14ac:dyDescent="0.2">
      <c r="A9" s="8">
        <v>0.72537037037037033</v>
      </c>
      <c r="B9" s="6">
        <v>16.0625</v>
      </c>
      <c r="C9" s="4">
        <v>932</v>
      </c>
      <c r="D9" s="4" t="s">
        <v>23</v>
      </c>
      <c r="E9" s="9">
        <v>0.59</v>
      </c>
      <c r="F9" s="4" t="s">
        <v>24</v>
      </c>
    </row>
    <row r="10" spans="1:9" x14ac:dyDescent="0.2">
      <c r="A10" s="8">
        <v>0.72539351851851852</v>
      </c>
      <c r="B10" s="6">
        <v>18.097660000000001</v>
      </c>
      <c r="C10" s="4">
        <v>931</v>
      </c>
      <c r="D10" s="4" t="s">
        <v>23</v>
      </c>
      <c r="E10" s="9">
        <v>0.59</v>
      </c>
      <c r="F10" s="4" t="s">
        <v>24</v>
      </c>
    </row>
    <row r="11" spans="1:9" x14ac:dyDescent="0.2">
      <c r="A11" s="8">
        <v>0.72541666666666671</v>
      </c>
      <c r="B11" s="6">
        <v>20.148440000000001</v>
      </c>
      <c r="C11" s="4">
        <v>930</v>
      </c>
      <c r="D11" s="4" t="s">
        <v>23</v>
      </c>
      <c r="E11" s="9">
        <v>0.59</v>
      </c>
      <c r="F11" s="4" t="s">
        <v>24</v>
      </c>
    </row>
    <row r="12" spans="1:9" x14ac:dyDescent="0.2">
      <c r="A12" s="8">
        <v>0.72543981481481479</v>
      </c>
      <c r="B12" s="6">
        <v>22.1875</v>
      </c>
      <c r="C12" s="4">
        <v>928</v>
      </c>
      <c r="D12" s="4" t="s">
        <v>23</v>
      </c>
      <c r="E12" s="9">
        <v>0.59</v>
      </c>
      <c r="F12" s="4" t="s">
        <v>24</v>
      </c>
    </row>
    <row r="13" spans="1:9" x14ac:dyDescent="0.2">
      <c r="A13" s="8">
        <v>0.72547453703703701</v>
      </c>
      <c r="B13" s="6">
        <v>24.234380000000002</v>
      </c>
      <c r="C13" s="4">
        <v>928</v>
      </c>
      <c r="D13" s="4" t="s">
        <v>23</v>
      </c>
      <c r="E13" s="9">
        <v>0.59</v>
      </c>
      <c r="F13" s="4" t="s">
        <v>24</v>
      </c>
    </row>
    <row r="14" spans="1:9" x14ac:dyDescent="0.2">
      <c r="A14" s="8">
        <v>0.7254976851851852</v>
      </c>
      <c r="B14" s="6">
        <v>26.265630000000002</v>
      </c>
      <c r="C14" s="4">
        <v>927</v>
      </c>
      <c r="D14" s="4" t="s">
        <v>23</v>
      </c>
      <c r="E14" s="9">
        <v>0.59</v>
      </c>
      <c r="F14" s="4" t="s">
        <v>24</v>
      </c>
    </row>
    <row r="15" spans="1:9" x14ac:dyDescent="0.2">
      <c r="A15" s="8">
        <v>0.72552083333333328</v>
      </c>
      <c r="B15" s="6">
        <v>28.316410000000001</v>
      </c>
      <c r="C15" s="4">
        <v>926</v>
      </c>
      <c r="D15" s="4" t="s">
        <v>23</v>
      </c>
      <c r="E15" s="9">
        <v>0.59</v>
      </c>
      <c r="F15" s="4" t="s">
        <v>24</v>
      </c>
    </row>
    <row r="16" spans="1:9" x14ac:dyDescent="0.2">
      <c r="A16" s="8">
        <v>0.72554398148148147</v>
      </c>
      <c r="B16" s="6">
        <v>30.347660000000001</v>
      </c>
      <c r="C16" s="4">
        <v>927</v>
      </c>
      <c r="D16" s="4" t="s">
        <v>23</v>
      </c>
      <c r="E16" s="9">
        <v>0.59</v>
      </c>
      <c r="F16" s="4" t="s">
        <v>24</v>
      </c>
    </row>
    <row r="17" spans="1:6" x14ac:dyDescent="0.2">
      <c r="A17" s="8">
        <v>0.72556712962962966</v>
      </c>
      <c r="B17" s="6">
        <v>32.382809999999999</v>
      </c>
      <c r="C17" s="4">
        <v>925</v>
      </c>
      <c r="D17" s="4" t="s">
        <v>25</v>
      </c>
      <c r="E17" s="4" t="s">
        <v>25</v>
      </c>
      <c r="F17" s="4">
        <v>21</v>
      </c>
    </row>
    <row r="18" spans="1:6" x14ac:dyDescent="0.2">
      <c r="A18" s="8">
        <v>0.72559027777777774</v>
      </c>
      <c r="B18" s="6">
        <v>34.429690000000001</v>
      </c>
      <c r="C18" s="4">
        <v>925</v>
      </c>
      <c r="D18" s="4" t="s">
        <v>23</v>
      </c>
      <c r="E18" s="9">
        <v>0.59</v>
      </c>
      <c r="F18" s="4" t="s">
        <v>24</v>
      </c>
    </row>
    <row r="19" spans="1:6" x14ac:dyDescent="0.2">
      <c r="A19" s="8">
        <v>0.72561342592592593</v>
      </c>
      <c r="B19" s="6">
        <v>36.480469999999997</v>
      </c>
      <c r="C19" s="4">
        <v>923</v>
      </c>
      <c r="D19" s="4" t="s">
        <v>23</v>
      </c>
      <c r="E19" s="9">
        <v>0.59</v>
      </c>
      <c r="F19" s="4" t="s">
        <v>24</v>
      </c>
    </row>
    <row r="20" spans="1:6" x14ac:dyDescent="0.2">
      <c r="A20" s="8">
        <v>0.72563657407407411</v>
      </c>
      <c r="B20" s="6">
        <v>38.515630000000002</v>
      </c>
      <c r="C20" s="4">
        <v>924</v>
      </c>
      <c r="D20" s="4" t="s">
        <v>23</v>
      </c>
      <c r="E20" s="9">
        <v>0.59</v>
      </c>
      <c r="F20" s="4" t="s">
        <v>24</v>
      </c>
    </row>
    <row r="21" spans="1:6" x14ac:dyDescent="0.2">
      <c r="A21" s="8">
        <v>0.72565972222222219</v>
      </c>
      <c r="B21" s="6">
        <v>40.554690000000001</v>
      </c>
      <c r="C21" s="4">
        <v>922</v>
      </c>
      <c r="D21" s="4" t="s">
        <v>23</v>
      </c>
      <c r="E21" s="9">
        <v>0.59</v>
      </c>
      <c r="F21" s="4" t="s">
        <v>24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3A69-588A-4E49-B57D-E253DF5F923F}">
  <dimension ref="A1:I21"/>
  <sheetViews>
    <sheetView zoomScaleNormal="100" workbookViewId="0">
      <selection activeCell="C2" sqref="C2:C21"/>
    </sheetView>
  </sheetViews>
  <sheetFormatPr defaultRowHeight="12.75" x14ac:dyDescent="0.2"/>
  <cols>
    <col min="1" max="1" width="11.42578125" style="4" customWidth="1"/>
    <col min="2" max="2" width="12.5703125" style="6" customWidth="1"/>
    <col min="3" max="6" width="9.140625" style="4"/>
  </cols>
  <sheetData>
    <row r="1" spans="1:9" x14ac:dyDescent="0.2">
      <c r="A1" s="5" t="s">
        <v>26</v>
      </c>
      <c r="B1" s="7" t="s">
        <v>27</v>
      </c>
      <c r="C1" s="5" t="s">
        <v>28</v>
      </c>
      <c r="D1" s="5" t="s">
        <v>29</v>
      </c>
      <c r="E1" s="5" t="s">
        <v>30</v>
      </c>
      <c r="F1" s="5" t="s">
        <v>31</v>
      </c>
    </row>
    <row r="2" spans="1:9" ht="14.25" x14ac:dyDescent="0.25">
      <c r="A2" s="8">
        <v>0.73113425925925923</v>
      </c>
      <c r="B2" s="6">
        <v>1.832031</v>
      </c>
      <c r="C2" s="10">
        <v>851</v>
      </c>
      <c r="D2" s="10" t="s">
        <v>25</v>
      </c>
      <c r="E2" s="10" t="s">
        <v>25</v>
      </c>
      <c r="F2" s="10">
        <v>21</v>
      </c>
      <c r="G2">
        <f>AVERAGE(C2:C21)</f>
        <v>849.2</v>
      </c>
      <c r="H2">
        <f>91*(1023-G2)/G2</f>
        <v>18.624352331606211</v>
      </c>
      <c r="I2" s="12" t="s">
        <v>35</v>
      </c>
    </row>
    <row r="3" spans="1:9" x14ac:dyDescent="0.2">
      <c r="A3" s="8">
        <v>0.73115740740740742</v>
      </c>
      <c r="B3" s="6">
        <v>3.8242189999999998</v>
      </c>
      <c r="C3" s="10">
        <v>848</v>
      </c>
      <c r="D3" s="10" t="s">
        <v>23</v>
      </c>
      <c r="E3" s="9">
        <v>0.59</v>
      </c>
      <c r="F3" s="10" t="s">
        <v>24</v>
      </c>
    </row>
    <row r="4" spans="1:9" x14ac:dyDescent="0.2">
      <c r="A4" s="8">
        <v>0.7311805555555555</v>
      </c>
      <c r="B4" s="6">
        <v>5.8554690000000003</v>
      </c>
      <c r="C4" s="10">
        <v>848</v>
      </c>
      <c r="D4" s="10" t="s">
        <v>23</v>
      </c>
      <c r="E4" s="9">
        <v>0.59</v>
      </c>
      <c r="F4" s="10" t="s">
        <v>24</v>
      </c>
    </row>
    <row r="5" spans="1:9" x14ac:dyDescent="0.2">
      <c r="A5" s="8">
        <v>0.73120370370370369</v>
      </c>
      <c r="B5" s="6">
        <v>7.9023440000000003</v>
      </c>
      <c r="C5" s="10">
        <v>849</v>
      </c>
      <c r="D5" s="10" t="s">
        <v>23</v>
      </c>
      <c r="E5" s="9">
        <v>0.59</v>
      </c>
      <c r="F5" s="10" t="s">
        <v>24</v>
      </c>
    </row>
    <row r="6" spans="1:9" x14ac:dyDescent="0.2">
      <c r="A6" s="8">
        <v>0.73122685185185188</v>
      </c>
      <c r="B6" s="6">
        <v>9.9414060000000006</v>
      </c>
      <c r="C6" s="10">
        <v>848</v>
      </c>
      <c r="D6" s="10" t="s">
        <v>23</v>
      </c>
      <c r="E6" s="9">
        <v>0.59</v>
      </c>
      <c r="F6" s="10" t="s">
        <v>24</v>
      </c>
    </row>
    <row r="7" spans="1:9" x14ac:dyDescent="0.2">
      <c r="A7" s="8">
        <v>0.73126157407407411</v>
      </c>
      <c r="B7" s="6">
        <v>11.98828</v>
      </c>
      <c r="C7" s="10">
        <v>848</v>
      </c>
      <c r="D7" s="10" t="s">
        <v>23</v>
      </c>
      <c r="E7" s="9">
        <v>0.59</v>
      </c>
      <c r="F7" s="10" t="s">
        <v>24</v>
      </c>
    </row>
    <row r="8" spans="1:9" x14ac:dyDescent="0.2">
      <c r="A8" s="8">
        <v>0.73128472222222218</v>
      </c>
      <c r="B8" s="6">
        <v>14.035159999999999</v>
      </c>
      <c r="C8" s="10">
        <v>851</v>
      </c>
      <c r="D8" s="10" t="s">
        <v>23</v>
      </c>
      <c r="E8" s="9">
        <v>0.59</v>
      </c>
      <c r="F8" s="10" t="s">
        <v>24</v>
      </c>
    </row>
    <row r="9" spans="1:9" x14ac:dyDescent="0.2">
      <c r="A9" s="8">
        <v>0.73130787037037037</v>
      </c>
      <c r="B9" s="6">
        <v>16.566410000000001</v>
      </c>
      <c r="C9" s="10">
        <v>850</v>
      </c>
      <c r="D9" s="10" t="s">
        <v>25</v>
      </c>
      <c r="E9" s="10" t="s">
        <v>25</v>
      </c>
      <c r="F9" s="10">
        <v>-237</v>
      </c>
    </row>
    <row r="10" spans="1:9" x14ac:dyDescent="0.2">
      <c r="A10" s="8">
        <v>0.73133101851851856</v>
      </c>
      <c r="B10" s="6">
        <v>18.609380000000002</v>
      </c>
      <c r="C10" s="10">
        <v>850</v>
      </c>
      <c r="D10" s="10" t="s">
        <v>23</v>
      </c>
      <c r="E10" s="9">
        <v>0.61</v>
      </c>
      <c r="F10" s="10" t="s">
        <v>24</v>
      </c>
    </row>
    <row r="11" spans="1:9" x14ac:dyDescent="0.2">
      <c r="A11" s="8">
        <v>0.73135416666666664</v>
      </c>
      <c r="B11" s="6">
        <v>20.640630000000002</v>
      </c>
      <c r="C11" s="10">
        <v>848</v>
      </c>
      <c r="D11" s="10" t="s">
        <v>25</v>
      </c>
      <c r="E11" s="10" t="s">
        <v>25</v>
      </c>
      <c r="F11" s="10">
        <v>21</v>
      </c>
    </row>
    <row r="12" spans="1:9" x14ac:dyDescent="0.2">
      <c r="A12" s="8">
        <v>0.73137731481481483</v>
      </c>
      <c r="B12" s="6">
        <v>22.695309999999999</v>
      </c>
      <c r="C12" s="10">
        <v>849</v>
      </c>
      <c r="D12" s="10" t="s">
        <v>23</v>
      </c>
      <c r="E12" s="9">
        <v>0.64</v>
      </c>
      <c r="F12" s="10" t="s">
        <v>24</v>
      </c>
    </row>
    <row r="13" spans="1:9" x14ac:dyDescent="0.2">
      <c r="A13" s="8">
        <v>0.73140046296296302</v>
      </c>
      <c r="B13" s="6">
        <v>24.73047</v>
      </c>
      <c r="C13" s="10">
        <v>850</v>
      </c>
      <c r="D13" s="10" t="s">
        <v>23</v>
      </c>
      <c r="E13" s="9">
        <v>0.65</v>
      </c>
      <c r="F13" s="10" t="s">
        <v>24</v>
      </c>
    </row>
    <row r="14" spans="1:9" x14ac:dyDescent="0.2">
      <c r="A14" s="8">
        <v>0.73142361111111109</v>
      </c>
      <c r="B14" s="6">
        <v>26.777339999999999</v>
      </c>
      <c r="C14" s="10">
        <v>850</v>
      </c>
      <c r="D14" s="10" t="s">
        <v>23</v>
      </c>
      <c r="E14" s="9">
        <v>0.64</v>
      </c>
      <c r="F14" s="10" t="s">
        <v>24</v>
      </c>
    </row>
    <row r="15" spans="1:9" x14ac:dyDescent="0.2">
      <c r="A15" s="8">
        <v>0.73144675925925928</v>
      </c>
      <c r="B15" s="6">
        <v>28.8125</v>
      </c>
      <c r="C15" s="10">
        <v>849</v>
      </c>
      <c r="D15" s="10" t="s">
        <v>23</v>
      </c>
      <c r="E15" s="9">
        <v>0.63</v>
      </c>
      <c r="F15" s="10" t="s">
        <v>24</v>
      </c>
    </row>
    <row r="16" spans="1:9" x14ac:dyDescent="0.2">
      <c r="A16" s="8">
        <v>0.73146990740740736</v>
      </c>
      <c r="B16" s="6">
        <v>30.84375</v>
      </c>
      <c r="C16" s="4">
        <v>850</v>
      </c>
      <c r="D16" s="4" t="s">
        <v>23</v>
      </c>
      <c r="E16" s="9">
        <v>0.63</v>
      </c>
      <c r="F16" s="4" t="s">
        <v>24</v>
      </c>
    </row>
    <row r="17" spans="1:6" x14ac:dyDescent="0.2">
      <c r="A17" s="8">
        <v>0.73149305555555555</v>
      </c>
      <c r="B17" s="6">
        <v>32.890630000000002</v>
      </c>
      <c r="C17" s="4">
        <v>849</v>
      </c>
      <c r="D17" s="4" t="s">
        <v>23</v>
      </c>
      <c r="E17" s="9">
        <v>0.62</v>
      </c>
      <c r="F17" s="4" t="s">
        <v>24</v>
      </c>
    </row>
    <row r="18" spans="1:6" x14ac:dyDescent="0.2">
      <c r="A18" s="8">
        <v>0.73152777777777778</v>
      </c>
      <c r="B18" s="6">
        <v>34.945309999999999</v>
      </c>
      <c r="C18" s="4">
        <v>848</v>
      </c>
      <c r="D18" s="4" t="s">
        <v>23</v>
      </c>
      <c r="E18" s="9">
        <v>0.62</v>
      </c>
      <c r="F18" s="4" t="s">
        <v>24</v>
      </c>
    </row>
    <row r="19" spans="1:6" x14ac:dyDescent="0.2">
      <c r="A19" s="8">
        <v>0.73155092592592597</v>
      </c>
      <c r="B19" s="6">
        <v>36.972659999999998</v>
      </c>
      <c r="C19" s="4">
        <v>850</v>
      </c>
      <c r="D19" s="4" t="s">
        <v>32</v>
      </c>
      <c r="E19" s="9">
        <v>0.62</v>
      </c>
      <c r="F19" s="4" t="s">
        <v>24</v>
      </c>
    </row>
    <row r="20" spans="1:6" x14ac:dyDescent="0.2">
      <c r="A20" s="8">
        <v>0.73157407407407404</v>
      </c>
      <c r="B20" s="6">
        <v>39.019530000000003</v>
      </c>
      <c r="C20" s="4">
        <v>848</v>
      </c>
      <c r="D20" s="4" t="s">
        <v>32</v>
      </c>
      <c r="E20" s="9">
        <v>0.62</v>
      </c>
      <c r="F20" s="4" t="s">
        <v>24</v>
      </c>
    </row>
    <row r="21" spans="1:6" x14ac:dyDescent="0.2">
      <c r="A21" s="8">
        <v>0.73159722222222223</v>
      </c>
      <c r="B21" s="6">
        <v>41.0625</v>
      </c>
      <c r="C21" s="4">
        <v>850</v>
      </c>
      <c r="D21" s="4" t="s">
        <v>32</v>
      </c>
      <c r="E21" s="9">
        <v>0.62</v>
      </c>
      <c r="F21" s="4" t="s">
        <v>24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5AD9C-40B0-4929-B867-891C081E706C}">
  <dimension ref="A1:I21"/>
  <sheetViews>
    <sheetView workbookViewId="0">
      <selection activeCell="C2" sqref="C2:C21"/>
    </sheetView>
  </sheetViews>
  <sheetFormatPr defaultRowHeight="12.75" x14ac:dyDescent="0.2"/>
  <cols>
    <col min="1" max="1" width="11.5703125" style="4" customWidth="1"/>
    <col min="2" max="2" width="12.7109375" style="6" customWidth="1"/>
    <col min="3" max="6" width="9.140625" style="4"/>
  </cols>
  <sheetData>
    <row r="1" spans="1:9" x14ac:dyDescent="0.2">
      <c r="A1" s="5" t="s">
        <v>18</v>
      </c>
      <c r="B1" s="7" t="s">
        <v>19</v>
      </c>
      <c r="C1" s="5" t="s">
        <v>17</v>
      </c>
      <c r="D1" s="5" t="s">
        <v>20</v>
      </c>
      <c r="E1" s="5" t="s">
        <v>21</v>
      </c>
      <c r="F1" s="5" t="s">
        <v>22</v>
      </c>
    </row>
    <row r="2" spans="1:9" ht="14.25" x14ac:dyDescent="0.25">
      <c r="A2" s="8">
        <v>0.73429398148148151</v>
      </c>
      <c r="B2" s="6">
        <v>1.796875</v>
      </c>
      <c r="C2" s="4">
        <v>828</v>
      </c>
      <c r="D2" s="4" t="s">
        <v>25</v>
      </c>
      <c r="E2" s="4" t="s">
        <v>25</v>
      </c>
      <c r="F2" s="4">
        <v>21</v>
      </c>
      <c r="G2">
        <f>AVERAGE(C2:C21)</f>
        <v>820.95</v>
      </c>
      <c r="H2">
        <f>91*(1023-G2)/G2</f>
        <v>22.396674584323033</v>
      </c>
      <c r="I2" s="12" t="s">
        <v>35</v>
      </c>
    </row>
    <row r="3" spans="1:9" x14ac:dyDescent="0.2">
      <c r="A3" s="8">
        <v>0.73431712962962958</v>
      </c>
      <c r="B3" s="6">
        <v>3.8320310000000002</v>
      </c>
      <c r="C3" s="4">
        <v>820</v>
      </c>
      <c r="D3" s="4" t="s">
        <v>23</v>
      </c>
      <c r="E3" s="9">
        <v>0.59</v>
      </c>
      <c r="F3" s="4" t="s">
        <v>24</v>
      </c>
    </row>
    <row r="4" spans="1:9" x14ac:dyDescent="0.2">
      <c r="A4" s="8">
        <v>0.73435185185185181</v>
      </c>
      <c r="B4" s="6">
        <v>6.3828129999999996</v>
      </c>
      <c r="C4" s="4">
        <v>821</v>
      </c>
      <c r="D4" s="4" t="s">
        <v>23</v>
      </c>
      <c r="E4" s="9">
        <v>0.59</v>
      </c>
      <c r="F4" s="4" t="s">
        <v>24</v>
      </c>
    </row>
    <row r="5" spans="1:9" x14ac:dyDescent="0.2">
      <c r="A5" s="8">
        <v>0.734375</v>
      </c>
      <c r="B5" s="6">
        <v>8.4023439999999994</v>
      </c>
      <c r="C5" s="4">
        <v>818</v>
      </c>
      <c r="D5" s="4" t="s">
        <v>25</v>
      </c>
      <c r="E5" s="4" t="s">
        <v>25</v>
      </c>
      <c r="F5" s="4">
        <v>-237</v>
      </c>
    </row>
    <row r="6" spans="1:9" x14ac:dyDescent="0.2">
      <c r="A6" s="8">
        <v>0.73439814814814819</v>
      </c>
      <c r="B6" s="6">
        <v>10.44922</v>
      </c>
      <c r="C6" s="4">
        <v>816</v>
      </c>
      <c r="D6" s="4" t="s">
        <v>23</v>
      </c>
      <c r="E6" s="9">
        <v>0.59</v>
      </c>
      <c r="F6" s="4" t="s">
        <v>24</v>
      </c>
    </row>
    <row r="7" spans="1:9" x14ac:dyDescent="0.2">
      <c r="A7" s="8">
        <v>0.73442129629629627</v>
      </c>
      <c r="B7" s="6">
        <v>12.48438</v>
      </c>
      <c r="C7" s="4">
        <v>817</v>
      </c>
      <c r="D7" s="4" t="s">
        <v>23</v>
      </c>
      <c r="E7" s="9">
        <v>0.59</v>
      </c>
      <c r="F7" s="4" t="s">
        <v>24</v>
      </c>
    </row>
    <row r="8" spans="1:9" x14ac:dyDescent="0.2">
      <c r="A8" s="8">
        <v>0.73445601851851849</v>
      </c>
      <c r="B8" s="6">
        <v>15.035159999999999</v>
      </c>
      <c r="C8" s="4">
        <v>819</v>
      </c>
      <c r="D8" s="4" t="s">
        <v>25</v>
      </c>
      <c r="E8" s="4" t="s">
        <v>25</v>
      </c>
      <c r="F8" s="4">
        <v>-237</v>
      </c>
    </row>
    <row r="9" spans="1:9" x14ac:dyDescent="0.2">
      <c r="A9" s="8">
        <v>0.73447916666666668</v>
      </c>
      <c r="B9" s="6">
        <v>17.0625</v>
      </c>
      <c r="C9" s="4">
        <v>818</v>
      </c>
      <c r="D9" s="4" t="s">
        <v>23</v>
      </c>
      <c r="E9" s="9">
        <v>0.59</v>
      </c>
      <c r="F9" s="4" t="s">
        <v>24</v>
      </c>
    </row>
    <row r="10" spans="1:9" x14ac:dyDescent="0.2">
      <c r="A10" s="8">
        <v>0.73450231481481476</v>
      </c>
      <c r="B10" s="6">
        <v>19.11328</v>
      </c>
      <c r="C10" s="4">
        <v>819</v>
      </c>
      <c r="D10" s="4" t="s">
        <v>23</v>
      </c>
      <c r="E10" s="9">
        <v>0.59</v>
      </c>
      <c r="F10" s="4" t="s">
        <v>24</v>
      </c>
    </row>
    <row r="11" spans="1:9" x14ac:dyDescent="0.2">
      <c r="A11" s="8">
        <v>0.73452546296296295</v>
      </c>
      <c r="B11" s="6">
        <v>21.160160000000001</v>
      </c>
      <c r="C11" s="4">
        <v>819</v>
      </c>
      <c r="D11" s="4" t="s">
        <v>23</v>
      </c>
      <c r="E11" s="9">
        <v>0.59</v>
      </c>
      <c r="F11" s="4" t="s">
        <v>24</v>
      </c>
    </row>
    <row r="12" spans="1:9" x14ac:dyDescent="0.2">
      <c r="A12" s="8">
        <v>0.73454861111111114</v>
      </c>
      <c r="B12" s="6">
        <v>23.191410000000001</v>
      </c>
      <c r="C12" s="4">
        <v>820</v>
      </c>
      <c r="D12" s="4" t="s">
        <v>23</v>
      </c>
      <c r="E12" s="9">
        <v>0.59</v>
      </c>
      <c r="F12" s="4" t="s">
        <v>24</v>
      </c>
    </row>
    <row r="13" spans="1:9" x14ac:dyDescent="0.2">
      <c r="A13" s="8">
        <v>0.73457175925925922</v>
      </c>
      <c r="B13" s="6">
        <v>25.242190000000001</v>
      </c>
      <c r="C13" s="4">
        <v>820</v>
      </c>
      <c r="D13" s="4" t="s">
        <v>23</v>
      </c>
      <c r="E13" s="9">
        <v>0.59</v>
      </c>
      <c r="F13" s="4" t="s">
        <v>24</v>
      </c>
    </row>
    <row r="14" spans="1:9" x14ac:dyDescent="0.2">
      <c r="A14" s="8">
        <v>0.7345949074074074</v>
      </c>
      <c r="B14" s="6">
        <v>27.273440000000001</v>
      </c>
      <c r="C14" s="4">
        <v>822</v>
      </c>
      <c r="D14" s="4" t="s">
        <v>23</v>
      </c>
      <c r="E14" s="9">
        <v>0.59</v>
      </c>
      <c r="F14" s="4" t="s">
        <v>24</v>
      </c>
    </row>
    <row r="15" spans="1:9" x14ac:dyDescent="0.2">
      <c r="A15" s="8">
        <v>0.73461805555555559</v>
      </c>
      <c r="B15" s="6">
        <v>29.816410000000001</v>
      </c>
      <c r="C15" s="4">
        <v>823</v>
      </c>
      <c r="D15" s="4" t="s">
        <v>25</v>
      </c>
      <c r="E15" s="4" t="s">
        <v>25</v>
      </c>
      <c r="F15" s="4">
        <v>-237</v>
      </c>
    </row>
    <row r="16" spans="1:9" x14ac:dyDescent="0.2">
      <c r="A16" s="8">
        <v>0.73464120370370367</v>
      </c>
      <c r="B16" s="6">
        <v>31.85547</v>
      </c>
      <c r="C16" s="4">
        <v>822</v>
      </c>
      <c r="D16" s="4" t="s">
        <v>23</v>
      </c>
      <c r="E16" s="9">
        <v>0.59</v>
      </c>
      <c r="F16" s="4" t="s">
        <v>24</v>
      </c>
    </row>
    <row r="17" spans="1:6" x14ac:dyDescent="0.2">
      <c r="A17" s="8">
        <v>0.73466435185185186</v>
      </c>
      <c r="B17" s="6">
        <v>33.898440000000001</v>
      </c>
      <c r="C17" s="4">
        <v>824</v>
      </c>
      <c r="D17" s="4" t="s">
        <v>23</v>
      </c>
      <c r="E17" s="9">
        <v>0.57999999999999996</v>
      </c>
      <c r="F17" s="4" t="s">
        <v>24</v>
      </c>
    </row>
    <row r="18" spans="1:6" x14ac:dyDescent="0.2">
      <c r="A18" s="8">
        <v>0.73468750000000005</v>
      </c>
      <c r="B18" s="6">
        <v>35.941409999999998</v>
      </c>
      <c r="C18" s="4">
        <v>821</v>
      </c>
      <c r="D18" s="4" t="s">
        <v>23</v>
      </c>
      <c r="E18" s="9">
        <v>0.57999999999999996</v>
      </c>
      <c r="F18" s="4" t="s">
        <v>24</v>
      </c>
    </row>
    <row r="19" spans="1:6" x14ac:dyDescent="0.2">
      <c r="A19" s="8">
        <v>0.73471064814814813</v>
      </c>
      <c r="B19" s="6">
        <v>37.988280000000003</v>
      </c>
      <c r="C19" s="4">
        <v>824</v>
      </c>
      <c r="D19" s="4" t="s">
        <v>23</v>
      </c>
      <c r="E19" s="9">
        <v>0.57999999999999996</v>
      </c>
      <c r="F19" s="4" t="s">
        <v>24</v>
      </c>
    </row>
    <row r="20" spans="1:6" x14ac:dyDescent="0.2">
      <c r="A20" s="8">
        <v>0.73474537037037035</v>
      </c>
      <c r="B20" s="6">
        <v>40.027340000000002</v>
      </c>
      <c r="C20" s="4">
        <v>824</v>
      </c>
      <c r="D20" s="4" t="s">
        <v>23</v>
      </c>
      <c r="E20" s="9">
        <v>0.57999999999999996</v>
      </c>
      <c r="F20" s="4" t="s">
        <v>24</v>
      </c>
    </row>
    <row r="21" spans="1:6" x14ac:dyDescent="0.2">
      <c r="A21" s="8">
        <v>0.73476851851851854</v>
      </c>
      <c r="B21" s="6">
        <v>42.570309999999999</v>
      </c>
      <c r="C21" s="4">
        <v>824</v>
      </c>
      <c r="D21" s="4" t="s">
        <v>25</v>
      </c>
      <c r="E21" s="4" t="s">
        <v>25</v>
      </c>
      <c r="F21" s="4">
        <v>-237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56A7-B8FC-4F98-B13A-EB5A43E972B2}">
  <dimension ref="A1:I21"/>
  <sheetViews>
    <sheetView workbookViewId="0">
      <selection activeCell="C2" sqref="C2:C21"/>
    </sheetView>
  </sheetViews>
  <sheetFormatPr defaultRowHeight="12.75" x14ac:dyDescent="0.2"/>
  <cols>
    <col min="1" max="1" width="14.5703125" style="4" customWidth="1"/>
    <col min="2" max="2" width="11" style="6" customWidth="1"/>
    <col min="3" max="6" width="9.140625" style="4"/>
  </cols>
  <sheetData>
    <row r="1" spans="1:9" x14ac:dyDescent="0.2">
      <c r="A1" s="5" t="s">
        <v>18</v>
      </c>
      <c r="B1" s="7" t="s">
        <v>19</v>
      </c>
      <c r="C1" s="5" t="s">
        <v>17</v>
      </c>
      <c r="D1" s="5" t="s">
        <v>20</v>
      </c>
      <c r="E1" s="5" t="s">
        <v>21</v>
      </c>
      <c r="F1" s="5" t="s">
        <v>22</v>
      </c>
    </row>
    <row r="2" spans="1:9" ht="14.25" x14ac:dyDescent="0.25">
      <c r="A2" s="8">
        <v>0.72603009259259255</v>
      </c>
      <c r="B2" s="6">
        <v>1.7890630000000001</v>
      </c>
      <c r="C2" s="4">
        <v>883</v>
      </c>
      <c r="D2" s="4" t="s">
        <v>25</v>
      </c>
      <c r="E2" s="4" t="s">
        <v>25</v>
      </c>
      <c r="F2" s="4">
        <v>21</v>
      </c>
      <c r="G2">
        <f>AVERAGE(C2:C21)</f>
        <v>874.6</v>
      </c>
      <c r="H2">
        <f>91*(1023-G2)/G2</f>
        <v>15.440658586782526</v>
      </c>
      <c r="I2" s="12" t="s">
        <v>35</v>
      </c>
    </row>
    <row r="3" spans="1:9" x14ac:dyDescent="0.2">
      <c r="A3" s="8">
        <v>0.72605324074074074</v>
      </c>
      <c r="B3" s="6">
        <v>3.8203130000000001</v>
      </c>
      <c r="C3" s="4">
        <v>882</v>
      </c>
      <c r="D3" s="4" t="s">
        <v>23</v>
      </c>
      <c r="E3" s="9">
        <v>0.59</v>
      </c>
      <c r="F3" s="4" t="s">
        <v>24</v>
      </c>
    </row>
    <row r="4" spans="1:9" x14ac:dyDescent="0.2">
      <c r="A4" s="8">
        <v>0.72607638888888892</v>
      </c>
      <c r="B4" s="6">
        <v>5.8671879999999996</v>
      </c>
      <c r="C4" s="4">
        <v>884</v>
      </c>
      <c r="D4" s="4" t="s">
        <v>23</v>
      </c>
      <c r="E4" s="9">
        <v>0.59</v>
      </c>
      <c r="F4" s="4" t="s">
        <v>24</v>
      </c>
    </row>
    <row r="5" spans="1:9" x14ac:dyDescent="0.2">
      <c r="A5" s="8">
        <v>0.726099537037037</v>
      </c>
      <c r="B5" s="6">
        <v>7.90625</v>
      </c>
      <c r="C5" s="4">
        <v>882</v>
      </c>
      <c r="D5" s="4" t="s">
        <v>23</v>
      </c>
      <c r="E5" s="9">
        <v>0.59</v>
      </c>
      <c r="F5" s="4" t="s">
        <v>24</v>
      </c>
    </row>
    <row r="6" spans="1:9" x14ac:dyDescent="0.2">
      <c r="A6" s="8">
        <v>0.72612268518518519</v>
      </c>
      <c r="B6" s="6">
        <v>9.9414060000000006</v>
      </c>
      <c r="C6" s="4">
        <v>882</v>
      </c>
      <c r="D6" s="4" t="s">
        <v>23</v>
      </c>
      <c r="E6" s="9">
        <v>0.59</v>
      </c>
      <c r="F6" s="4" t="s">
        <v>24</v>
      </c>
    </row>
    <row r="7" spans="1:9" x14ac:dyDescent="0.2">
      <c r="A7" s="8">
        <v>0.72614583333333338</v>
      </c>
      <c r="B7" s="6">
        <v>11.98828</v>
      </c>
      <c r="C7" s="4">
        <v>881</v>
      </c>
      <c r="D7" s="4" t="s">
        <v>23</v>
      </c>
      <c r="E7" s="9">
        <v>0.59</v>
      </c>
      <c r="F7" s="4" t="s">
        <v>24</v>
      </c>
    </row>
    <row r="8" spans="1:9" x14ac:dyDescent="0.2">
      <c r="A8" s="8">
        <v>0.72616898148148146</v>
      </c>
      <c r="B8" s="6">
        <v>14.023440000000001</v>
      </c>
      <c r="C8" s="4">
        <v>879</v>
      </c>
      <c r="D8" s="4" t="s">
        <v>23</v>
      </c>
      <c r="E8" s="9">
        <v>0.59</v>
      </c>
      <c r="F8" s="4" t="s">
        <v>24</v>
      </c>
    </row>
    <row r="9" spans="1:9" x14ac:dyDescent="0.2">
      <c r="A9" s="8">
        <v>0.72620370370370368</v>
      </c>
      <c r="B9" s="6">
        <v>16.070309999999999</v>
      </c>
      <c r="C9" s="4">
        <v>877</v>
      </c>
      <c r="D9" s="4" t="s">
        <v>23</v>
      </c>
      <c r="E9" s="9">
        <v>0.59</v>
      </c>
      <c r="F9" s="4" t="s">
        <v>24</v>
      </c>
    </row>
    <row r="10" spans="1:9" x14ac:dyDescent="0.2">
      <c r="A10" s="8">
        <v>0.72622685185185187</v>
      </c>
      <c r="B10" s="6">
        <v>18.11328</v>
      </c>
      <c r="C10" s="4">
        <v>877</v>
      </c>
      <c r="D10" s="4" t="s">
        <v>23</v>
      </c>
      <c r="E10" s="9">
        <v>0.59</v>
      </c>
      <c r="F10" s="4" t="s">
        <v>24</v>
      </c>
    </row>
    <row r="11" spans="1:9" x14ac:dyDescent="0.2">
      <c r="A11" s="8">
        <v>0.72624999999999995</v>
      </c>
      <c r="B11" s="6">
        <v>20.160160000000001</v>
      </c>
      <c r="C11" s="4">
        <v>875</v>
      </c>
      <c r="D11" s="4" t="s">
        <v>23</v>
      </c>
      <c r="E11" s="9">
        <v>0.59</v>
      </c>
      <c r="F11" s="4" t="s">
        <v>24</v>
      </c>
    </row>
    <row r="12" spans="1:9" x14ac:dyDescent="0.2">
      <c r="A12" s="8">
        <v>0.72627314814814814</v>
      </c>
      <c r="B12" s="6">
        <v>22.195309999999999</v>
      </c>
      <c r="C12" s="4">
        <v>872</v>
      </c>
      <c r="D12" s="4" t="s">
        <v>23</v>
      </c>
      <c r="E12" s="9">
        <v>0.59</v>
      </c>
      <c r="F12" s="4" t="s">
        <v>24</v>
      </c>
    </row>
    <row r="13" spans="1:9" x14ac:dyDescent="0.2">
      <c r="A13" s="8">
        <v>0.72629629629629633</v>
      </c>
      <c r="B13" s="6">
        <v>24.226559999999999</v>
      </c>
      <c r="C13" s="4">
        <v>873</v>
      </c>
      <c r="D13" s="4" t="s">
        <v>23</v>
      </c>
      <c r="E13" s="9">
        <v>0.59</v>
      </c>
      <c r="F13" s="4" t="s">
        <v>24</v>
      </c>
    </row>
    <row r="14" spans="1:9" x14ac:dyDescent="0.2">
      <c r="A14" s="8">
        <v>0.72631944444444441</v>
      </c>
      <c r="B14" s="6">
        <v>26.273440000000001</v>
      </c>
      <c r="C14" s="4">
        <v>873</v>
      </c>
      <c r="D14" s="4" t="s">
        <v>23</v>
      </c>
      <c r="E14" s="9">
        <v>0.59</v>
      </c>
      <c r="F14" s="4" t="s">
        <v>24</v>
      </c>
    </row>
    <row r="15" spans="1:9" x14ac:dyDescent="0.2">
      <c r="A15" s="8">
        <v>0.7263425925925926</v>
      </c>
      <c r="B15" s="6">
        <v>28.320309999999999</v>
      </c>
      <c r="C15" s="4">
        <v>871</v>
      </c>
      <c r="D15" s="4" t="s">
        <v>23</v>
      </c>
      <c r="E15" s="9">
        <v>0.59</v>
      </c>
      <c r="F15" s="4" t="s">
        <v>24</v>
      </c>
    </row>
    <row r="16" spans="1:9" x14ac:dyDescent="0.2">
      <c r="A16" s="8">
        <v>0.72636574074074078</v>
      </c>
      <c r="B16" s="6">
        <v>30.359380000000002</v>
      </c>
      <c r="C16" s="4">
        <v>871</v>
      </c>
      <c r="D16" s="4" t="s">
        <v>23</v>
      </c>
      <c r="E16" s="9">
        <v>0.59</v>
      </c>
      <c r="F16" s="4" t="s">
        <v>24</v>
      </c>
    </row>
    <row r="17" spans="1:6" x14ac:dyDescent="0.2">
      <c r="A17" s="8">
        <v>0.72638888888888886</v>
      </c>
      <c r="B17" s="6">
        <v>32.394530000000003</v>
      </c>
      <c r="C17" s="4">
        <v>869</v>
      </c>
      <c r="D17" s="4" t="s">
        <v>23</v>
      </c>
      <c r="E17" s="9">
        <v>0.59</v>
      </c>
      <c r="F17" s="4" t="s">
        <v>24</v>
      </c>
    </row>
    <row r="18" spans="1:6" x14ac:dyDescent="0.2">
      <c r="A18" s="8">
        <v>0.72641203703703705</v>
      </c>
      <c r="B18" s="6">
        <v>34.4375</v>
      </c>
      <c r="C18" s="4">
        <v>866</v>
      </c>
      <c r="D18" s="4" t="s">
        <v>23</v>
      </c>
      <c r="E18" s="9">
        <v>0.59</v>
      </c>
      <c r="F18" s="4" t="s">
        <v>24</v>
      </c>
    </row>
    <row r="19" spans="1:6" x14ac:dyDescent="0.2">
      <c r="A19" s="8">
        <v>0.72643518518518524</v>
      </c>
      <c r="B19" s="6">
        <v>36.484380000000002</v>
      </c>
      <c r="C19" s="4">
        <v>865</v>
      </c>
      <c r="D19" s="4" t="s">
        <v>23</v>
      </c>
      <c r="E19" s="9">
        <v>0.59</v>
      </c>
      <c r="F19" s="4" t="s">
        <v>24</v>
      </c>
    </row>
    <row r="20" spans="1:6" x14ac:dyDescent="0.2">
      <c r="A20" s="8">
        <v>0.72645833333333332</v>
      </c>
      <c r="B20" s="6">
        <v>38.515630000000002</v>
      </c>
      <c r="C20" s="4">
        <v>866</v>
      </c>
      <c r="D20" s="4" t="s">
        <v>23</v>
      </c>
      <c r="E20" s="9">
        <v>0.59</v>
      </c>
      <c r="F20" s="4" t="s">
        <v>24</v>
      </c>
    </row>
    <row r="21" spans="1:6" x14ac:dyDescent="0.2">
      <c r="A21" s="8">
        <v>0.72648148148148151</v>
      </c>
      <c r="B21" s="6">
        <v>40.5625</v>
      </c>
      <c r="C21" s="4">
        <v>864</v>
      </c>
      <c r="D21" s="4" t="s">
        <v>23</v>
      </c>
      <c r="E21" s="9">
        <v>0.59</v>
      </c>
      <c r="F21" s="4" t="s">
        <v>24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BCE7-8208-42C6-8102-C7092A5E2FA6}">
  <dimension ref="A1:I21"/>
  <sheetViews>
    <sheetView workbookViewId="0">
      <selection activeCell="C2" sqref="C2:C21"/>
    </sheetView>
  </sheetViews>
  <sheetFormatPr defaultRowHeight="12.75" x14ac:dyDescent="0.2"/>
  <cols>
    <col min="1" max="1" width="13.42578125" style="4" customWidth="1"/>
    <col min="2" max="2" width="13.5703125" style="6" customWidth="1"/>
    <col min="3" max="6" width="9.140625" style="4"/>
  </cols>
  <sheetData>
    <row r="1" spans="1:9" x14ac:dyDescent="0.2">
      <c r="A1" s="5" t="s">
        <v>26</v>
      </c>
      <c r="B1" s="7" t="s">
        <v>27</v>
      </c>
      <c r="C1" s="5" t="s">
        <v>28</v>
      </c>
      <c r="D1" s="5" t="s">
        <v>29</v>
      </c>
      <c r="E1" s="5" t="s">
        <v>30</v>
      </c>
      <c r="F1" s="5" t="s">
        <v>31</v>
      </c>
    </row>
    <row r="2" spans="1:9" ht="14.25" x14ac:dyDescent="0.25">
      <c r="A2" s="8">
        <v>0.73266203703703703</v>
      </c>
      <c r="B2" s="6">
        <v>1.792969</v>
      </c>
      <c r="C2" s="10">
        <v>827</v>
      </c>
      <c r="D2" s="10" t="s">
        <v>32</v>
      </c>
      <c r="E2" s="9">
        <v>0.6</v>
      </c>
      <c r="F2" s="10" t="s">
        <v>24</v>
      </c>
      <c r="G2">
        <f>AVERAGE(C2:C21)</f>
        <v>822.35</v>
      </c>
      <c r="H2">
        <f>91*(1023-G2)/G2</f>
        <v>22.203623761172246</v>
      </c>
      <c r="I2" s="12" t="s">
        <v>35</v>
      </c>
    </row>
    <row r="3" spans="1:9" x14ac:dyDescent="0.2">
      <c r="A3" s="8">
        <v>0.73268518518518522</v>
      </c>
      <c r="B3" s="6">
        <v>3.8125</v>
      </c>
      <c r="C3" s="10">
        <v>826</v>
      </c>
      <c r="D3" s="10" t="s">
        <v>32</v>
      </c>
      <c r="E3" s="9">
        <v>0.6</v>
      </c>
      <c r="F3" s="10" t="s">
        <v>24</v>
      </c>
    </row>
    <row r="4" spans="1:9" x14ac:dyDescent="0.2">
      <c r="A4" s="8">
        <v>0.73271990740740744</v>
      </c>
      <c r="B4" s="6">
        <v>5.859375</v>
      </c>
      <c r="C4" s="10">
        <v>825</v>
      </c>
      <c r="D4" s="10" t="s">
        <v>32</v>
      </c>
      <c r="E4" s="9">
        <v>0.6</v>
      </c>
      <c r="F4" s="10" t="s">
        <v>24</v>
      </c>
    </row>
    <row r="5" spans="1:9" x14ac:dyDescent="0.2">
      <c r="A5" s="8">
        <v>0.73274305555555552</v>
      </c>
      <c r="B5" s="6">
        <v>7.8984379999999996</v>
      </c>
      <c r="C5" s="10">
        <v>821</v>
      </c>
      <c r="D5" s="10" t="s">
        <v>32</v>
      </c>
      <c r="E5" s="9">
        <v>0.61</v>
      </c>
      <c r="F5" s="10" t="s">
        <v>24</v>
      </c>
    </row>
    <row r="6" spans="1:9" x14ac:dyDescent="0.2">
      <c r="A6" s="8">
        <v>0.73276620370370371</v>
      </c>
      <c r="B6" s="6">
        <v>9.9492189999999994</v>
      </c>
      <c r="C6" s="10">
        <v>822</v>
      </c>
      <c r="D6" s="10" t="s">
        <v>32</v>
      </c>
      <c r="E6" s="9">
        <v>0.61</v>
      </c>
      <c r="F6" s="10" t="s">
        <v>24</v>
      </c>
    </row>
    <row r="7" spans="1:9" x14ac:dyDescent="0.2">
      <c r="A7" s="8">
        <v>0.7327893518518519</v>
      </c>
      <c r="B7" s="6">
        <v>11.98828</v>
      </c>
      <c r="C7" s="10">
        <v>818</v>
      </c>
      <c r="D7" s="10" t="s">
        <v>32</v>
      </c>
      <c r="E7" s="9">
        <v>0.61</v>
      </c>
      <c r="F7" s="10" t="s">
        <v>24</v>
      </c>
    </row>
    <row r="8" spans="1:9" x14ac:dyDescent="0.2">
      <c r="A8" s="8">
        <v>0.73281249999999998</v>
      </c>
      <c r="B8" s="6">
        <v>14.01953</v>
      </c>
      <c r="C8" s="10">
        <v>820</v>
      </c>
      <c r="D8" s="10" t="s">
        <v>32</v>
      </c>
      <c r="E8" s="9">
        <v>0.61</v>
      </c>
      <c r="F8" s="10" t="s">
        <v>24</v>
      </c>
    </row>
    <row r="9" spans="1:9" x14ac:dyDescent="0.2">
      <c r="A9" s="8">
        <v>0.73283564814814817</v>
      </c>
      <c r="B9" s="6">
        <v>16.058589999999999</v>
      </c>
      <c r="C9" s="10">
        <v>821</v>
      </c>
      <c r="D9" s="10" t="s">
        <v>32</v>
      </c>
      <c r="E9" s="9">
        <v>0.61</v>
      </c>
      <c r="F9" s="10" t="s">
        <v>24</v>
      </c>
    </row>
    <row r="10" spans="1:9" x14ac:dyDescent="0.2">
      <c r="A10" s="8">
        <v>0.73285879629629624</v>
      </c>
      <c r="B10" s="6">
        <v>18.10547</v>
      </c>
      <c r="C10" s="10">
        <v>819</v>
      </c>
      <c r="D10" s="10" t="s">
        <v>32</v>
      </c>
      <c r="E10" s="9">
        <v>0.61</v>
      </c>
      <c r="F10" s="10" t="s">
        <v>24</v>
      </c>
    </row>
    <row r="11" spans="1:9" x14ac:dyDescent="0.2">
      <c r="A11" s="8">
        <v>0.73288194444444443</v>
      </c>
      <c r="B11" s="6">
        <v>20.140630000000002</v>
      </c>
      <c r="C11" s="10">
        <v>821</v>
      </c>
      <c r="D11" s="10" t="s">
        <v>32</v>
      </c>
      <c r="E11" s="9">
        <v>0.61</v>
      </c>
      <c r="F11" s="10" t="s">
        <v>24</v>
      </c>
    </row>
    <row r="12" spans="1:9" x14ac:dyDescent="0.2">
      <c r="A12" s="8">
        <v>0.73290509259259262</v>
      </c>
      <c r="B12" s="6">
        <v>22.1875</v>
      </c>
      <c r="C12" s="10">
        <v>823</v>
      </c>
      <c r="D12" s="10" t="s">
        <v>32</v>
      </c>
      <c r="E12" s="9">
        <v>0.61</v>
      </c>
      <c r="F12" s="10" t="s">
        <v>24</v>
      </c>
    </row>
    <row r="13" spans="1:9" x14ac:dyDescent="0.2">
      <c r="A13" s="8">
        <v>0.7329282407407407</v>
      </c>
      <c r="B13" s="6">
        <v>24.222660000000001</v>
      </c>
      <c r="C13" s="10">
        <v>822</v>
      </c>
      <c r="D13" s="10" t="s">
        <v>32</v>
      </c>
      <c r="E13" s="9">
        <v>0.6</v>
      </c>
      <c r="F13" s="10" t="s">
        <v>24</v>
      </c>
    </row>
    <row r="14" spans="1:9" x14ac:dyDescent="0.2">
      <c r="A14" s="8">
        <v>0.73295138888888889</v>
      </c>
      <c r="B14" s="6">
        <v>26.273440000000001</v>
      </c>
      <c r="C14" s="10">
        <v>820</v>
      </c>
      <c r="D14" s="10" t="s">
        <v>32</v>
      </c>
      <c r="E14" s="9">
        <v>0.6</v>
      </c>
      <c r="F14" s="10" t="s">
        <v>24</v>
      </c>
    </row>
    <row r="15" spans="1:9" x14ac:dyDescent="0.2">
      <c r="A15" s="8">
        <v>0.73297453703703708</v>
      </c>
      <c r="B15" s="6">
        <v>28.308589999999999</v>
      </c>
      <c r="C15" s="10">
        <v>824</v>
      </c>
      <c r="D15" s="10" t="s">
        <v>32</v>
      </c>
      <c r="E15" s="9">
        <v>0.6</v>
      </c>
      <c r="F15" s="10" t="s">
        <v>24</v>
      </c>
    </row>
    <row r="16" spans="1:9" x14ac:dyDescent="0.2">
      <c r="A16" s="8">
        <v>0.73299768518518515</v>
      </c>
      <c r="B16" s="6">
        <v>30.35547</v>
      </c>
      <c r="C16" s="10">
        <v>822</v>
      </c>
      <c r="D16" s="10" t="s">
        <v>32</v>
      </c>
      <c r="E16" s="9">
        <v>0.6</v>
      </c>
      <c r="F16" s="10" t="s">
        <v>24</v>
      </c>
    </row>
    <row r="17" spans="1:6" x14ac:dyDescent="0.2">
      <c r="A17" s="8">
        <v>0.73302083333333334</v>
      </c>
      <c r="B17" s="6">
        <v>32.394530000000003</v>
      </c>
      <c r="C17" s="10">
        <v>824</v>
      </c>
      <c r="D17" s="10" t="s">
        <v>32</v>
      </c>
      <c r="E17" s="9">
        <v>0.6</v>
      </c>
      <c r="F17" s="10" t="s">
        <v>24</v>
      </c>
    </row>
    <row r="18" spans="1:6" x14ac:dyDescent="0.2">
      <c r="A18" s="8">
        <v>0.73304398148148153</v>
      </c>
      <c r="B18" s="6">
        <v>34.429690000000001</v>
      </c>
      <c r="C18" s="10">
        <v>824</v>
      </c>
      <c r="D18" s="10" t="s">
        <v>32</v>
      </c>
      <c r="E18" s="9">
        <v>0.6</v>
      </c>
      <c r="F18" s="10" t="s">
        <v>24</v>
      </c>
    </row>
    <row r="19" spans="1:6" x14ac:dyDescent="0.2">
      <c r="A19" s="8">
        <v>0.73306712962962961</v>
      </c>
      <c r="B19" s="6">
        <v>36.480469999999997</v>
      </c>
      <c r="C19" s="10">
        <v>822</v>
      </c>
      <c r="D19" s="10" t="s">
        <v>32</v>
      </c>
      <c r="E19" s="9">
        <v>0.6</v>
      </c>
      <c r="F19" s="10" t="s">
        <v>24</v>
      </c>
    </row>
    <row r="20" spans="1:6" x14ac:dyDescent="0.2">
      <c r="A20" s="8">
        <v>0.7330902777777778</v>
      </c>
      <c r="B20" s="6">
        <v>38.519530000000003</v>
      </c>
      <c r="C20" s="10">
        <v>824</v>
      </c>
      <c r="D20" s="10" t="s">
        <v>32</v>
      </c>
      <c r="E20" s="9">
        <v>0.6</v>
      </c>
      <c r="F20" s="10" t="s">
        <v>24</v>
      </c>
    </row>
    <row r="21" spans="1:6" x14ac:dyDescent="0.2">
      <c r="A21" s="8">
        <v>0.73311342592592588</v>
      </c>
      <c r="B21" s="6">
        <v>40.550780000000003</v>
      </c>
      <c r="C21" s="10">
        <v>822</v>
      </c>
      <c r="D21" s="10" t="s">
        <v>32</v>
      </c>
      <c r="E21" s="9">
        <v>0.6</v>
      </c>
      <c r="F21" s="10" t="s">
        <v>24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01484-C1BB-4D42-AEBC-721138E9AC5B}">
  <dimension ref="A1:I22"/>
  <sheetViews>
    <sheetView workbookViewId="0">
      <selection activeCell="P20" sqref="P20"/>
    </sheetView>
  </sheetViews>
  <sheetFormatPr defaultRowHeight="12.75" x14ac:dyDescent="0.2"/>
  <cols>
    <col min="1" max="1" width="12" style="4" customWidth="1"/>
    <col min="2" max="2" width="12.85546875" style="6" customWidth="1"/>
    <col min="3" max="6" width="9.140625" style="4"/>
  </cols>
  <sheetData>
    <row r="1" spans="1:9" x14ac:dyDescent="0.2">
      <c r="A1" s="5" t="s">
        <v>18</v>
      </c>
      <c r="B1" s="7" t="s">
        <v>19</v>
      </c>
      <c r="C1" s="5" t="s">
        <v>17</v>
      </c>
      <c r="D1" s="5" t="s">
        <v>20</v>
      </c>
      <c r="E1" s="5" t="s">
        <v>21</v>
      </c>
      <c r="F1" s="5" t="s">
        <v>22</v>
      </c>
    </row>
    <row r="2" spans="1:9" ht="14.25" x14ac:dyDescent="0.25">
      <c r="A2" s="8">
        <v>0.73523148148148143</v>
      </c>
      <c r="B2" s="6">
        <v>1.8046880000000001</v>
      </c>
      <c r="C2" s="4">
        <v>789</v>
      </c>
      <c r="D2" s="4" t="s">
        <v>25</v>
      </c>
      <c r="E2" s="4" t="s">
        <v>25</v>
      </c>
      <c r="F2" s="4">
        <v>21</v>
      </c>
      <c r="G2">
        <f>AVERAGE(C2:C21)</f>
        <v>794.25</v>
      </c>
      <c r="H2">
        <f>91*(1023-G2)/G2</f>
        <v>26.208687440982057</v>
      </c>
      <c r="I2" s="12" t="s">
        <v>35</v>
      </c>
    </row>
    <row r="3" spans="1:9" x14ac:dyDescent="0.2">
      <c r="A3" s="8">
        <v>0.73525462962962962</v>
      </c>
      <c r="B3" s="6">
        <v>3.8203130000000001</v>
      </c>
      <c r="C3" s="4">
        <v>789</v>
      </c>
      <c r="D3" s="4" t="s">
        <v>23</v>
      </c>
      <c r="E3" s="9">
        <v>0.59</v>
      </c>
      <c r="F3" s="4" t="s">
        <v>24</v>
      </c>
    </row>
    <row r="4" spans="1:9" x14ac:dyDescent="0.2">
      <c r="A4" s="8">
        <v>0.73527777777777781</v>
      </c>
      <c r="B4" s="6">
        <v>5.8710940000000003</v>
      </c>
      <c r="C4" s="4">
        <v>793</v>
      </c>
      <c r="D4" s="4" t="s">
        <v>23</v>
      </c>
      <c r="E4" s="9">
        <v>0.59</v>
      </c>
      <c r="F4" s="4" t="s">
        <v>24</v>
      </c>
    </row>
    <row r="5" spans="1:9" x14ac:dyDescent="0.2">
      <c r="A5" s="8">
        <v>0.73530092592592589</v>
      </c>
      <c r="B5" s="6">
        <v>7.9023440000000003</v>
      </c>
      <c r="C5" s="4">
        <v>794</v>
      </c>
      <c r="D5" s="4" t="s">
        <v>23</v>
      </c>
      <c r="E5" s="9">
        <v>0.59</v>
      </c>
      <c r="F5" s="4" t="s">
        <v>24</v>
      </c>
    </row>
    <row r="6" spans="1:9" x14ac:dyDescent="0.2">
      <c r="A6" s="8">
        <v>0.73532407407407407</v>
      </c>
      <c r="B6" s="6">
        <v>9.9492189999999994</v>
      </c>
      <c r="C6" s="4">
        <v>793</v>
      </c>
      <c r="D6" s="4" t="s">
        <v>23</v>
      </c>
      <c r="E6" s="9">
        <v>0.59</v>
      </c>
      <c r="F6" s="4" t="s">
        <v>24</v>
      </c>
    </row>
    <row r="7" spans="1:9" x14ac:dyDescent="0.2">
      <c r="A7" s="8">
        <v>0.73534722222222226</v>
      </c>
      <c r="B7" s="6">
        <v>11.996090000000001</v>
      </c>
      <c r="C7" s="4">
        <v>793</v>
      </c>
      <c r="D7" s="4" t="s">
        <v>23</v>
      </c>
      <c r="E7" s="9">
        <v>0.59</v>
      </c>
      <c r="F7" s="4" t="s">
        <v>24</v>
      </c>
    </row>
    <row r="8" spans="1:9" x14ac:dyDescent="0.2">
      <c r="A8" s="8">
        <v>0.73537037037037034</v>
      </c>
      <c r="B8" s="6">
        <v>14.027340000000001</v>
      </c>
      <c r="C8" s="4">
        <v>793</v>
      </c>
      <c r="D8" s="4" t="s">
        <v>23</v>
      </c>
      <c r="E8" s="9">
        <v>0.59</v>
      </c>
      <c r="F8" s="4" t="s">
        <v>24</v>
      </c>
    </row>
    <row r="9" spans="1:9" x14ac:dyDescent="0.2">
      <c r="A9" s="8">
        <v>0.73539351851851853</v>
      </c>
      <c r="B9" s="6">
        <v>16.058589999999999</v>
      </c>
      <c r="C9" s="4">
        <v>795</v>
      </c>
      <c r="D9" s="4" t="s">
        <v>25</v>
      </c>
      <c r="E9" s="4" t="s">
        <v>25</v>
      </c>
      <c r="F9" s="4">
        <v>21</v>
      </c>
    </row>
    <row r="10" spans="1:9" x14ac:dyDescent="0.2">
      <c r="A10" s="8">
        <v>0.73542824074074076</v>
      </c>
      <c r="B10" s="6">
        <v>18.117190000000001</v>
      </c>
      <c r="C10" s="4">
        <v>792</v>
      </c>
      <c r="D10" s="4" t="s">
        <v>23</v>
      </c>
      <c r="E10" s="9">
        <v>0.59</v>
      </c>
      <c r="F10" s="4" t="s">
        <v>24</v>
      </c>
    </row>
    <row r="11" spans="1:9" x14ac:dyDescent="0.2">
      <c r="A11" s="8">
        <v>0.73545138888888884</v>
      </c>
      <c r="B11" s="6">
        <v>20.152339999999999</v>
      </c>
      <c r="C11" s="4">
        <v>795</v>
      </c>
      <c r="D11" s="4" t="s">
        <v>23</v>
      </c>
      <c r="E11" s="9">
        <v>0.59</v>
      </c>
      <c r="F11" s="4" t="s">
        <v>24</v>
      </c>
    </row>
    <row r="12" spans="1:9" x14ac:dyDescent="0.2">
      <c r="A12" s="8">
        <v>0.73547453703703702</v>
      </c>
      <c r="B12" s="6">
        <v>22.19922</v>
      </c>
      <c r="C12" s="4">
        <v>793</v>
      </c>
      <c r="D12" s="4" t="s">
        <v>23</v>
      </c>
      <c r="E12" s="9">
        <v>0.59</v>
      </c>
      <c r="F12" s="4" t="s">
        <v>24</v>
      </c>
    </row>
    <row r="13" spans="1:9" x14ac:dyDescent="0.2">
      <c r="A13" s="8">
        <v>0.73549768518518521</v>
      </c>
      <c r="B13" s="6">
        <v>24.23047</v>
      </c>
      <c r="C13" s="4">
        <v>796</v>
      </c>
      <c r="D13" s="4" t="s">
        <v>25</v>
      </c>
      <c r="E13" s="4" t="s">
        <v>25</v>
      </c>
      <c r="F13" s="4">
        <v>21</v>
      </c>
    </row>
    <row r="14" spans="1:9" x14ac:dyDescent="0.2">
      <c r="A14" s="8">
        <v>0.73552083333333329</v>
      </c>
      <c r="B14" s="6">
        <v>26.28125</v>
      </c>
      <c r="C14" s="4">
        <v>795</v>
      </c>
      <c r="D14" s="4" t="s">
        <v>23</v>
      </c>
      <c r="E14" s="9">
        <v>0.59</v>
      </c>
      <c r="F14" s="4" t="s">
        <v>24</v>
      </c>
    </row>
    <row r="15" spans="1:9" x14ac:dyDescent="0.2">
      <c r="A15" s="8">
        <v>0.73554398148148148</v>
      </c>
      <c r="B15" s="6">
        <v>28.3125</v>
      </c>
      <c r="C15" s="4">
        <v>798</v>
      </c>
      <c r="D15" s="4" t="s">
        <v>23</v>
      </c>
      <c r="E15" s="9">
        <v>0.59</v>
      </c>
      <c r="F15" s="4" t="s">
        <v>24</v>
      </c>
    </row>
    <row r="16" spans="1:9" x14ac:dyDescent="0.2">
      <c r="A16" s="8">
        <v>0.73556712962962967</v>
      </c>
      <c r="B16" s="6">
        <v>30.36328</v>
      </c>
      <c r="C16" s="4">
        <v>794</v>
      </c>
      <c r="D16" s="4" t="s">
        <v>23</v>
      </c>
      <c r="E16" s="9">
        <v>0.59</v>
      </c>
      <c r="F16" s="4" t="s">
        <v>24</v>
      </c>
    </row>
    <row r="17" spans="1:6" x14ac:dyDescent="0.2">
      <c r="A17" s="8">
        <v>0.73559027777777775</v>
      </c>
      <c r="B17" s="6">
        <v>32.398440000000001</v>
      </c>
      <c r="C17" s="4">
        <v>795</v>
      </c>
      <c r="D17" s="4" t="s">
        <v>23</v>
      </c>
      <c r="E17" s="9">
        <v>0.59</v>
      </c>
      <c r="F17" s="4" t="s">
        <v>24</v>
      </c>
    </row>
    <row r="18" spans="1:6" x14ac:dyDescent="0.2">
      <c r="A18" s="8">
        <v>0.73561342592592593</v>
      </c>
      <c r="B18" s="6">
        <v>34.441409999999998</v>
      </c>
      <c r="C18" s="4">
        <v>796</v>
      </c>
      <c r="D18" s="4" t="s">
        <v>23</v>
      </c>
      <c r="E18" s="9">
        <v>0.43</v>
      </c>
      <c r="F18" s="4" t="s">
        <v>24</v>
      </c>
    </row>
    <row r="19" spans="1:6" x14ac:dyDescent="0.2">
      <c r="A19" s="8">
        <v>0.73563657407407412</v>
      </c>
      <c r="B19" s="6">
        <v>36.476559999999999</v>
      </c>
      <c r="C19" s="4">
        <v>798</v>
      </c>
      <c r="D19" s="4" t="s">
        <v>23</v>
      </c>
      <c r="E19" s="9">
        <v>0.59</v>
      </c>
      <c r="F19" s="4" t="s">
        <v>24</v>
      </c>
    </row>
    <row r="20" spans="1:6" x14ac:dyDescent="0.2">
      <c r="A20" s="8">
        <v>0.7356597222222222</v>
      </c>
      <c r="B20" s="6">
        <v>38.523440000000001</v>
      </c>
      <c r="C20" s="4">
        <v>797</v>
      </c>
      <c r="D20" s="4" t="s">
        <v>23</v>
      </c>
      <c r="E20" s="9">
        <v>0.59</v>
      </c>
      <c r="F20" s="4" t="s">
        <v>24</v>
      </c>
    </row>
    <row r="21" spans="1:6" x14ac:dyDescent="0.2">
      <c r="A21" s="8">
        <v>0.73568287037037039</v>
      </c>
      <c r="B21" s="6">
        <v>40.570309999999999</v>
      </c>
      <c r="C21" s="4">
        <v>797</v>
      </c>
      <c r="D21" s="4" t="s">
        <v>23</v>
      </c>
      <c r="E21" s="9">
        <v>0.59</v>
      </c>
      <c r="F21" s="4" t="s">
        <v>24</v>
      </c>
    </row>
    <row r="22" spans="1:6" x14ac:dyDescent="0.2">
      <c r="A22" s="8"/>
      <c r="E22" s="9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9600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5</v>
      </c>
      <c r="C6" s="2" t="b">
        <v>1</v>
      </c>
      <c r="E6" s="15"/>
      <c r="F6" s="16"/>
    </row>
    <row r="7" spans="2:13" ht="12.75" customHeight="1" x14ac:dyDescent="0.2">
      <c r="B7" s="1" t="s">
        <v>6</v>
      </c>
      <c r="C7" s="2" t="b">
        <v>1</v>
      </c>
      <c r="E7" s="15"/>
      <c r="F7" s="16"/>
      <c r="M7" s="1"/>
    </row>
    <row r="8" spans="2:13" ht="12.75" customHeight="1" x14ac:dyDescent="0.2">
      <c r="B8" s="1" t="s">
        <v>7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33</v>
      </c>
      <c r="E9" s="15"/>
      <c r="F9" s="16"/>
      <c r="M9" s="1"/>
    </row>
    <row r="10" spans="2:13" ht="13.5" customHeight="1" x14ac:dyDescent="0.2">
      <c r="B10" s="1" t="s">
        <v>9</v>
      </c>
      <c r="C10" s="2" t="b">
        <v>1</v>
      </c>
      <c r="E10" s="15"/>
      <c r="F10" s="16"/>
    </row>
    <row r="11" spans="2:13" ht="13.5" customHeight="1" x14ac:dyDescent="0.2">
      <c r="B11" s="1" t="s">
        <v>8</v>
      </c>
      <c r="C11" s="2" t="b">
        <v>1</v>
      </c>
      <c r="E11" s="15"/>
      <c r="F11" s="16"/>
    </row>
    <row r="12" spans="2:13" ht="12.75" customHeight="1" x14ac:dyDescent="0.2">
      <c r="B12" s="1" t="s">
        <v>10</v>
      </c>
      <c r="C12" s="2" t="b">
        <v>1</v>
      </c>
      <c r="E12" s="15"/>
      <c r="F12" s="16"/>
    </row>
    <row r="13" spans="2:13" ht="12.75" customHeight="1" x14ac:dyDescent="0.2">
      <c r="B13" s="1" t="s">
        <v>11</v>
      </c>
      <c r="C13" s="2" t="b">
        <v>1</v>
      </c>
      <c r="E13" s="15"/>
      <c r="F13" s="16"/>
    </row>
    <row r="14" spans="2:13" ht="13.5" customHeight="1" x14ac:dyDescent="0.2">
      <c r="B14" s="1" t="s">
        <v>12</v>
      </c>
      <c r="C14" s="2">
        <v>536.25</v>
      </c>
      <c r="E14" s="15"/>
      <c r="F14" s="16"/>
    </row>
    <row r="15" spans="2:13" x14ac:dyDescent="0.2">
      <c r="B15" s="1" t="s">
        <v>13</v>
      </c>
      <c r="C15" s="3">
        <v>1024</v>
      </c>
      <c r="E15" s="15"/>
      <c r="F15" s="16"/>
    </row>
    <row r="16" spans="2:13" x14ac:dyDescent="0.2">
      <c r="B16" s="1" t="s">
        <v>14</v>
      </c>
      <c r="C16" s="3">
        <v>1024</v>
      </c>
      <c r="E16" s="15"/>
      <c r="F16" s="16"/>
    </row>
    <row r="17" spans="2:6" x14ac:dyDescent="0.2">
      <c r="B17" s="1" t="s">
        <v>15</v>
      </c>
      <c r="C17" s="3">
        <v>1024</v>
      </c>
      <c r="E17" s="15"/>
      <c r="F17" s="16"/>
    </row>
    <row r="18" spans="2:6" ht="13.5" thickBot="1" x14ac:dyDescent="0.25">
      <c r="B18" s="1" t="s">
        <v>16</v>
      </c>
      <c r="C18" s="3">
        <v>64</v>
      </c>
      <c r="E18" s="17"/>
      <c r="F18" s="18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氣溫紀錄</vt:lpstr>
      <vt:lpstr>A2</vt:lpstr>
      <vt:lpstr>A3</vt:lpstr>
      <vt:lpstr>A4</vt:lpstr>
      <vt:lpstr>B2</vt:lpstr>
      <vt:lpstr>B3</vt:lpstr>
      <vt:lpstr>B4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2026-09-03T05:42:24Z</dcterms:modified>
</cp:coreProperties>
</file>