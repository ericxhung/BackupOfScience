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10_12\"/>
    </mc:Choice>
  </mc:AlternateContent>
  <xr:revisionPtr revIDLastSave="0" documentId="13_ncr:1_{E88FE9A9-D4CA-46FC-9029-C9CA3519833B}" xr6:coauthVersionLast="47" xr6:coauthVersionMax="47" xr10:uidLastSave="{00000000-0000-0000-0000-000000000000}"/>
  <bookViews>
    <workbookView xWindow="-120" yWindow="-120" windowWidth="20730" windowHeight="11160" tabRatio="795" activeTab="5" xr2:uid="{00000000-000D-0000-FFFF-FFFF00000000}"/>
  </bookViews>
  <sheets>
    <sheet name="溫度" sheetId="36" r:id="rId1"/>
    <sheet name="去離子空白" sheetId="37" r:id="rId2"/>
    <sheet name="降溫30" sheetId="38" r:id="rId3"/>
    <sheet name="降溫40" sheetId="39" r:id="rId4"/>
    <sheet name="降溫50" sheetId="40" r:id="rId5"/>
    <sheet name="降溫60" sheetId="41" r:id="rId6"/>
    <sheet name="降溫70" sheetId="42" r:id="rId7"/>
    <sheet name="降溫80" sheetId="43" r:id="rId8"/>
    <sheet name="升溫30" sheetId="44" r:id="rId9"/>
    <sheet name="升溫40" sheetId="45" r:id="rId10"/>
    <sheet name="升溫50" sheetId="46" r:id="rId11"/>
    <sheet name="升溫60" sheetId="47" r:id="rId12"/>
    <sheet name="升溫70" sheetId="48" r:id="rId13"/>
    <sheet name="升溫80" sheetId="49" r:id="rId14"/>
    <sheet name="A2" sheetId="51" r:id="rId15"/>
    <sheet name="A3" sheetId="52" r:id="rId16"/>
    <sheet name="A4" sheetId="53" r:id="rId17"/>
    <sheet name="B2" sheetId="54" r:id="rId18"/>
    <sheet name="B3" sheetId="56" r:id="rId19"/>
    <sheet name="B4" sheetId="55" r:id="rId20"/>
    <sheet name="PLXDAQ_new_Settings" sheetId="6" state="hidden" r:id="rId2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55" l="1"/>
  <c r="I2" i="49"/>
  <c r="I3" i="49" s="1"/>
  <c r="I2" i="55"/>
  <c r="I3" i="56"/>
  <c r="I2" i="56"/>
  <c r="I3" i="54"/>
  <c r="I2" i="54"/>
  <c r="I3" i="53"/>
  <c r="I2" i="53"/>
  <c r="I3" i="40"/>
  <c r="I2" i="40"/>
  <c r="I3" i="39"/>
  <c r="I2" i="39"/>
  <c r="I3" i="52"/>
  <c r="I2" i="52"/>
  <c r="I3" i="51"/>
  <c r="I2" i="51"/>
  <c r="I3" i="48"/>
  <c r="I2" i="48"/>
  <c r="I3" i="47"/>
  <c r="I2" i="47"/>
  <c r="I3" i="46"/>
  <c r="I2" i="46"/>
  <c r="I3" i="45"/>
  <c r="I2" i="45"/>
  <c r="A1" i="45"/>
  <c r="I3" i="44"/>
  <c r="I2" i="44"/>
  <c r="A1" i="44"/>
  <c r="I3" i="43"/>
  <c r="I2" i="43"/>
  <c r="I3" i="42"/>
  <c r="I2" i="42"/>
  <c r="I3" i="41"/>
  <c r="I2" i="41"/>
  <c r="I2" i="38"/>
  <c r="I3" i="38" s="1"/>
  <c r="I3" i="37"/>
  <c r="I2" i="37"/>
</calcChain>
</file>

<file path=xl/sharedStrings.xml><?xml version="1.0" encoding="utf-8"?>
<sst xmlns="http://schemas.openxmlformats.org/spreadsheetml/2006/main" count="1251" uniqueCount="39">
  <si>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</si>
  <si>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</si>
  <si>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</si>
  <si>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</si>
  <si>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</si>
  <si>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</si>
  <si>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</si>
  <si>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</si>
  <si>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</si>
  <si>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</si>
  <si>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</si>
  <si>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</si>
  <si>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</si>
  <si>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</si>
  <si>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</si>
  <si>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</si>
  <si>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</si>
  <si>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</si>
  <si>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</si>
  <si>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</si>
  <si>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</si>
  <si>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</si>
  <si>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</si>
  <si>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</si>
  <si>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</si>
  <si>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28.00 C</t>
  </si>
  <si>
    <t>NULL</t>
  </si>
  <si>
    <t>Error</t>
  </si>
  <si>
    <t>Date</t>
    <phoneticPr fontId="4" type="noConversion"/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</si>
  <si>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</si>
  <si>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</si>
  <si>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</si>
  <si>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</si>
  <si>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</si>
  <si>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</si>
  <si>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  <phoneticPr fontId="4" type="noConversion"/>
  </si>
  <si>
    <t>28.00 C</t>
    <phoneticPr fontId="4" type="noConversion"/>
  </si>
  <si>
    <t>NULL</t>
    <phoneticPr fontId="4" type="noConversion"/>
  </si>
  <si>
    <t>B3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</si>
</sst>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76" fontId="0" fillId="0" borderId="0" xfId="0" applyNumberFormat="1"/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sheetPr codeName="工作表1"/>
  <dimension ref="A1:G22"/>
  <sheetViews>
    <sheetView workbookViewId="0">
      <selection activeCell="H16" sqref="H16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46307</v>
      </c>
      <c r="B2" s="9">
        <v>0.57093749999999999</v>
      </c>
      <c r="C2" s="6">
        <v>1.8515630000000001</v>
      </c>
      <c r="D2" s="4">
        <v>0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46307</v>
      </c>
      <c r="B3" s="9">
        <v>0.57093749999999999</v>
      </c>
      <c r="C3" s="6">
        <v>2.2734380000000001</v>
      </c>
      <c r="D3" s="4">
        <v>1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46307</v>
      </c>
      <c r="B4" s="9">
        <v>0.57094907407407403</v>
      </c>
      <c r="C4" s="6">
        <v>2.7734380000000001</v>
      </c>
      <c r="D4" s="4">
        <v>2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46307</v>
      </c>
      <c r="B5" s="9">
        <v>0.57094907407407403</v>
      </c>
      <c r="C5" s="6">
        <v>3.2890630000000001</v>
      </c>
      <c r="D5" s="4">
        <v>3</v>
      </c>
      <c r="E5" s="4" t="s">
        <v>25</v>
      </c>
      <c r="F5" s="10">
        <v>0.53</v>
      </c>
      <c r="G5" s="4" t="s">
        <v>26</v>
      </c>
    </row>
    <row r="6" spans="1:7" x14ac:dyDescent="0.2">
      <c r="A6" s="8">
        <v>46307</v>
      </c>
      <c r="B6" s="9">
        <v>0.57096064814814818</v>
      </c>
      <c r="C6" s="6">
        <v>3.8046880000000001</v>
      </c>
      <c r="D6" s="4">
        <v>3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46307</v>
      </c>
      <c r="B7" s="9">
        <v>0.57096064814814818</v>
      </c>
      <c r="C7" s="6">
        <v>4.3046879999999996</v>
      </c>
      <c r="D7" s="4">
        <v>0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46307</v>
      </c>
      <c r="B8" s="9">
        <v>0.57097222222222221</v>
      </c>
      <c r="C8" s="6">
        <v>4.8046879999999996</v>
      </c>
      <c r="D8" s="4">
        <v>0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46307</v>
      </c>
      <c r="B9" s="9">
        <v>0.57097222222222221</v>
      </c>
      <c r="C9" s="6">
        <v>5.3203129999999996</v>
      </c>
      <c r="D9" s="4">
        <v>0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46307</v>
      </c>
      <c r="B10" s="9">
        <v>0.57098379629629625</v>
      </c>
      <c r="C10" s="6">
        <v>5.8359379999999996</v>
      </c>
      <c r="D10" s="4">
        <v>0</v>
      </c>
      <c r="E10" s="4" t="s">
        <v>25</v>
      </c>
      <c r="F10" s="10">
        <v>0.53</v>
      </c>
      <c r="G10" s="4" t="s">
        <v>26</v>
      </c>
    </row>
    <row r="11" spans="1:7" x14ac:dyDescent="0.2">
      <c r="A11" s="8">
        <v>46307</v>
      </c>
      <c r="B11" s="9">
        <v>0.57098379629629625</v>
      </c>
      <c r="C11" s="6">
        <v>6.3515629999999996</v>
      </c>
      <c r="D11" s="4">
        <v>1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46307</v>
      </c>
      <c r="B12" s="9">
        <v>0.5709953703703704</v>
      </c>
      <c r="C12" s="6">
        <v>6.8515629999999996</v>
      </c>
      <c r="D12" s="4">
        <v>0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46307</v>
      </c>
      <c r="B13" s="9">
        <v>0.5709953703703704</v>
      </c>
      <c r="C13" s="6">
        <v>7.3515629999999996</v>
      </c>
      <c r="D13" s="4">
        <v>0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46307</v>
      </c>
      <c r="B14" s="9">
        <v>0.57100694444444444</v>
      </c>
      <c r="C14" s="6">
        <v>7.8515629999999996</v>
      </c>
      <c r="D14" s="4">
        <v>1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46307</v>
      </c>
      <c r="B15" s="9">
        <v>0.57100694444444444</v>
      </c>
      <c r="C15" s="6">
        <v>8.3828130000000005</v>
      </c>
      <c r="D15" s="4">
        <v>0</v>
      </c>
      <c r="E15" s="4" t="s">
        <v>25</v>
      </c>
      <c r="F15" s="10">
        <v>0.53</v>
      </c>
      <c r="G15" s="4" t="s">
        <v>26</v>
      </c>
    </row>
    <row r="16" spans="1:7" x14ac:dyDescent="0.2">
      <c r="A16" s="8">
        <v>46307</v>
      </c>
      <c r="B16" s="9">
        <v>0.57101851851851848</v>
      </c>
      <c r="C16" s="6">
        <v>8.8984380000000005</v>
      </c>
      <c r="D16" s="4">
        <v>1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0.57101851851851848</v>
      </c>
      <c r="C17" s="6">
        <v>9.3984380000000005</v>
      </c>
      <c r="D17" s="4">
        <v>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0.57103009259259263</v>
      </c>
      <c r="C18" s="6">
        <v>9.8945310000000006</v>
      </c>
      <c r="D18" s="4">
        <v>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0.57103009259259263</v>
      </c>
      <c r="C19" s="6">
        <v>10.39453</v>
      </c>
      <c r="D19" s="4">
        <v>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0.57104166666666667</v>
      </c>
      <c r="C20" s="6">
        <v>10.914059999999999</v>
      </c>
      <c r="D20" s="4">
        <v>2</v>
      </c>
      <c r="E20" s="4" t="s">
        <v>27</v>
      </c>
      <c r="F20" s="4" t="s">
        <v>27</v>
      </c>
      <c r="G20" s="4">
        <v>21</v>
      </c>
    </row>
    <row r="21" spans="1:7" x14ac:dyDescent="0.2">
      <c r="A21" s="8">
        <v>46307</v>
      </c>
      <c r="B21" s="9">
        <v>0.57104166666666667</v>
      </c>
      <c r="C21" s="6">
        <v>11.441409999999999</v>
      </c>
      <c r="D21" s="4">
        <v>0</v>
      </c>
      <c r="E21" s="4" t="s">
        <v>27</v>
      </c>
      <c r="F21" s="4" t="s">
        <v>27</v>
      </c>
      <c r="G21" s="4">
        <v>3088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60140-95E5-4C4B-B175-0C90023D2650}">
  <sheetPr codeName="工作表2"/>
  <dimension ref="A1:I22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0.57134259259259257</v>
      </c>
      <c r="C2" s="6">
        <v>1.792969</v>
      </c>
      <c r="D2" s="4">
        <v>579</v>
      </c>
      <c r="E2" s="4" t="s">
        <v>24</v>
      </c>
      <c r="F2" s="4" t="s">
        <v>24</v>
      </c>
      <c r="G2" s="4" t="s">
        <v>24</v>
      </c>
      <c r="I2">
        <f>AVERAGE(D2:D21)</f>
        <v>581.65</v>
      </c>
    </row>
    <row r="3" spans="1:9" x14ac:dyDescent="0.2">
      <c r="A3" s="8">
        <v>46307</v>
      </c>
      <c r="B3" s="9">
        <v>0.57134259259259257</v>
      </c>
      <c r="C3" s="6">
        <v>2.2773439999999998</v>
      </c>
      <c r="D3" s="4">
        <v>579</v>
      </c>
      <c r="E3" s="4" t="s">
        <v>24</v>
      </c>
      <c r="F3" s="4" t="s">
        <v>24</v>
      </c>
      <c r="G3" s="4" t="s">
        <v>24</v>
      </c>
      <c r="I3">
        <f>91*(1023-I2)/I2</f>
        <v>69.049858162124991</v>
      </c>
    </row>
    <row r="4" spans="1:9" x14ac:dyDescent="0.2">
      <c r="A4" s="8">
        <v>46307</v>
      </c>
      <c r="B4" s="9">
        <v>0.57135416666666672</v>
      </c>
      <c r="C4" s="6">
        <v>2.7773439999999998</v>
      </c>
      <c r="D4" s="4">
        <v>583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0.57135416666666672</v>
      </c>
      <c r="C5" s="6">
        <v>3.2929689999999998</v>
      </c>
      <c r="D5" s="4">
        <v>583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46307</v>
      </c>
      <c r="B6" s="9">
        <v>0.57136574074074076</v>
      </c>
      <c r="C6" s="6">
        <v>3.8125</v>
      </c>
      <c r="D6" s="4">
        <v>582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0.57136574074074076</v>
      </c>
      <c r="C7" s="6">
        <v>4.3242190000000003</v>
      </c>
      <c r="D7" s="4">
        <v>583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0.5713773148148148</v>
      </c>
      <c r="C8" s="6">
        <v>4.8242190000000003</v>
      </c>
      <c r="D8" s="4">
        <v>584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0.5713773148148148</v>
      </c>
      <c r="C9" s="6">
        <v>5.3125</v>
      </c>
      <c r="D9" s="4">
        <v>579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0.57138888888888884</v>
      </c>
      <c r="C10" s="6">
        <v>6.34375</v>
      </c>
      <c r="D10" s="4">
        <v>580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46307</v>
      </c>
      <c r="B11" s="9">
        <v>0.57140046296296299</v>
      </c>
      <c r="C11" s="6">
        <v>6.859375</v>
      </c>
      <c r="D11" s="4">
        <v>584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46307</v>
      </c>
      <c r="B12" s="9">
        <v>0.57141203703703702</v>
      </c>
      <c r="C12" s="6">
        <v>7.40625</v>
      </c>
      <c r="D12" s="4">
        <v>581</v>
      </c>
      <c r="E12" s="4" t="s">
        <v>25</v>
      </c>
      <c r="F12" s="10">
        <v>0.53</v>
      </c>
      <c r="G12" s="4" t="s">
        <v>26</v>
      </c>
    </row>
    <row r="13" spans="1:9" x14ac:dyDescent="0.2">
      <c r="A13" s="8">
        <v>46307</v>
      </c>
      <c r="B13" s="9">
        <v>0.57141203703703702</v>
      </c>
      <c r="C13" s="6">
        <v>7.921875</v>
      </c>
      <c r="D13" s="4">
        <v>583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0.57142361111111106</v>
      </c>
      <c r="C14" s="6">
        <v>8.421875</v>
      </c>
      <c r="D14" s="4">
        <v>581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0.57142361111111106</v>
      </c>
      <c r="C15" s="6">
        <v>8.921875</v>
      </c>
      <c r="D15" s="4">
        <v>584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46307</v>
      </c>
      <c r="B16" s="9">
        <v>0.57143518518518521</v>
      </c>
      <c r="C16" s="6">
        <v>9.421875</v>
      </c>
      <c r="D16" s="4">
        <v>584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0.57143518518518521</v>
      </c>
      <c r="C17" s="6">
        <v>9.953125</v>
      </c>
      <c r="D17" s="4">
        <v>581</v>
      </c>
      <c r="E17" s="4" t="s">
        <v>25</v>
      </c>
      <c r="F17" s="10">
        <v>0.53</v>
      </c>
      <c r="G17" s="4" t="s">
        <v>26</v>
      </c>
    </row>
    <row r="18" spans="1:7" x14ac:dyDescent="0.2">
      <c r="A18" s="8">
        <v>46307</v>
      </c>
      <c r="B18" s="9">
        <v>0.57144675925925925</v>
      </c>
      <c r="C18" s="6">
        <v>10.46875</v>
      </c>
      <c r="D18" s="4">
        <v>581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0.57144675925925925</v>
      </c>
      <c r="C19" s="6">
        <v>10.96875</v>
      </c>
      <c r="D19" s="4">
        <v>580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0.57145833333333329</v>
      </c>
      <c r="C20" s="6">
        <v>11.46875</v>
      </c>
      <c r="D20" s="4">
        <v>582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46307</v>
      </c>
      <c r="B21" s="9">
        <v>0.57145833333333329</v>
      </c>
      <c r="C21" s="6">
        <v>11.96875</v>
      </c>
      <c r="D21" s="4">
        <v>580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  <c r="F22" s="10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B563-7243-40E7-B364-619192EF564F}">
  <sheetPr codeName="工作表3"/>
  <dimension ref="A1:I25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0.57554398148148145</v>
      </c>
      <c r="C2" s="6">
        <v>1.796875</v>
      </c>
      <c r="D2" s="4">
        <v>609</v>
      </c>
      <c r="E2" s="4" t="s">
        <v>24</v>
      </c>
      <c r="F2" s="4" t="s">
        <v>24</v>
      </c>
      <c r="G2" s="4" t="s">
        <v>24</v>
      </c>
      <c r="I2">
        <f>AVERAGE(D2:D21)</f>
        <v>611.95000000000005</v>
      </c>
    </row>
    <row r="3" spans="1:9" x14ac:dyDescent="0.2">
      <c r="A3" s="8">
        <v>46307</v>
      </c>
      <c r="B3" s="9">
        <v>0.5755555555555556</v>
      </c>
      <c r="C3" s="6">
        <v>2.28125</v>
      </c>
      <c r="D3" s="4">
        <v>612</v>
      </c>
      <c r="E3" s="4" t="s">
        <v>24</v>
      </c>
      <c r="F3" s="4" t="s">
        <v>24</v>
      </c>
      <c r="G3" s="4" t="s">
        <v>24</v>
      </c>
      <c r="I3">
        <f>91*(1023-I2)/I2</f>
        <v>61.125173625296171</v>
      </c>
    </row>
    <row r="4" spans="1:9" x14ac:dyDescent="0.2">
      <c r="A4" s="8">
        <v>46307</v>
      </c>
      <c r="B4" s="9">
        <v>0.5755555555555556</v>
      </c>
      <c r="C4" s="6">
        <v>2.78125</v>
      </c>
      <c r="D4" s="4">
        <v>609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0.57556712962962964</v>
      </c>
      <c r="C5" s="6">
        <v>3.296875</v>
      </c>
      <c r="D5" s="4">
        <v>614</v>
      </c>
      <c r="E5" s="4" t="s">
        <v>25</v>
      </c>
      <c r="F5" s="10">
        <v>0.54</v>
      </c>
      <c r="G5" s="4" t="s">
        <v>26</v>
      </c>
    </row>
    <row r="6" spans="1:9" x14ac:dyDescent="0.2">
      <c r="A6" s="8">
        <v>46307</v>
      </c>
      <c r="B6" s="9">
        <v>0.57556712962962964</v>
      </c>
      <c r="C6" s="6">
        <v>3.828125</v>
      </c>
      <c r="D6" s="4">
        <v>613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0.57557870370370368</v>
      </c>
      <c r="C7" s="6">
        <v>4.328125</v>
      </c>
      <c r="D7" s="4">
        <v>610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0.57557870370370368</v>
      </c>
      <c r="C8" s="6">
        <v>4.828125</v>
      </c>
      <c r="D8" s="4">
        <v>614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0.57559027777777783</v>
      </c>
      <c r="C9" s="6">
        <v>5.328125</v>
      </c>
      <c r="D9" s="4">
        <v>607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0.57559027777777783</v>
      </c>
      <c r="C10" s="6">
        <v>5.84375</v>
      </c>
      <c r="D10" s="4">
        <v>614</v>
      </c>
      <c r="E10" s="4" t="s">
        <v>25</v>
      </c>
      <c r="F10" s="10">
        <v>0.54</v>
      </c>
      <c r="G10" s="4" t="s">
        <v>26</v>
      </c>
    </row>
    <row r="11" spans="1:9" x14ac:dyDescent="0.2">
      <c r="A11" s="8">
        <v>46307</v>
      </c>
      <c r="B11" s="9">
        <v>0.57560185185185186</v>
      </c>
      <c r="C11" s="6">
        <v>6.3554690000000003</v>
      </c>
      <c r="D11" s="4">
        <v>611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0.57560185185185186</v>
      </c>
      <c r="C12" s="6">
        <v>6.8554690000000003</v>
      </c>
      <c r="D12" s="4">
        <v>609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0.5756134259259259</v>
      </c>
      <c r="C13" s="6">
        <v>7.3554690000000003</v>
      </c>
      <c r="D13" s="4">
        <v>613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0.5756134259259259</v>
      </c>
      <c r="C14" s="6">
        <v>7.8554690000000003</v>
      </c>
      <c r="D14" s="4">
        <v>614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0.57562500000000005</v>
      </c>
      <c r="C15" s="6">
        <v>8.3867189999999994</v>
      </c>
      <c r="D15" s="4">
        <v>613</v>
      </c>
      <c r="E15" s="4" t="s">
        <v>25</v>
      </c>
      <c r="F15" s="10">
        <v>0.54</v>
      </c>
      <c r="G15" s="4" t="s">
        <v>26</v>
      </c>
    </row>
    <row r="16" spans="1:9" x14ac:dyDescent="0.2">
      <c r="A16" s="8">
        <v>46307</v>
      </c>
      <c r="B16" s="9">
        <v>0.57562500000000005</v>
      </c>
      <c r="C16" s="6">
        <v>8.9023439999999994</v>
      </c>
      <c r="D16" s="4">
        <v>614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0.57563657407407409</v>
      </c>
      <c r="C17" s="6">
        <v>9.4023439999999994</v>
      </c>
      <c r="D17" s="4">
        <v>612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0.57563657407407409</v>
      </c>
      <c r="C18" s="6">
        <v>9.9023439999999994</v>
      </c>
      <c r="D18" s="4">
        <v>613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0.57564814814814813</v>
      </c>
      <c r="C19" s="6">
        <v>10.402340000000001</v>
      </c>
      <c r="D19" s="4">
        <v>613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0.57564814814814813</v>
      </c>
      <c r="C20" s="6">
        <v>10.933590000000001</v>
      </c>
      <c r="D20" s="4">
        <v>611</v>
      </c>
      <c r="E20" s="4" t="s">
        <v>25</v>
      </c>
      <c r="F20" s="10">
        <v>0.54</v>
      </c>
      <c r="G20" s="4" t="s">
        <v>26</v>
      </c>
    </row>
    <row r="21" spans="1:7" x14ac:dyDescent="0.2">
      <c r="A21" s="8">
        <v>46307</v>
      </c>
      <c r="B21" s="9">
        <v>0.57565972222222217</v>
      </c>
      <c r="C21" s="6">
        <v>11.44922</v>
      </c>
      <c r="D21" s="4">
        <v>614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</row>
    <row r="25" spans="1:7" x14ac:dyDescent="0.2">
      <c r="A25" s="8"/>
      <c r="B25" s="9"/>
      <c r="F25" s="10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D480B-370E-42AA-9BF4-9C21D812ED1B}">
  <sheetPr codeName="工作表4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46307</v>
      </c>
      <c r="B2" s="9">
        <v>0.57716435185185189</v>
      </c>
      <c r="C2" s="6">
        <v>1.800781</v>
      </c>
      <c r="D2" s="4">
        <v>645</v>
      </c>
      <c r="E2" s="4" t="s">
        <v>35</v>
      </c>
      <c r="F2" s="4" t="s">
        <v>35</v>
      </c>
      <c r="G2" s="4" t="s">
        <v>35</v>
      </c>
      <c r="I2">
        <f>AVERAGE(D2:D21)</f>
        <v>647.54999999999995</v>
      </c>
    </row>
    <row r="3" spans="1:9" x14ac:dyDescent="0.2">
      <c r="A3" s="8">
        <v>46307</v>
      </c>
      <c r="B3" s="9">
        <v>0.57717592592592593</v>
      </c>
      <c r="C3" s="6">
        <v>2.2695310000000002</v>
      </c>
      <c r="D3" s="4">
        <v>649</v>
      </c>
      <c r="E3" s="4" t="s">
        <v>35</v>
      </c>
      <c r="F3" s="4" t="s">
        <v>35</v>
      </c>
      <c r="G3" s="4" t="s">
        <v>35</v>
      </c>
      <c r="I3">
        <f>91*(1023-I2)/I2</f>
        <v>52.761871670141311</v>
      </c>
    </row>
    <row r="4" spans="1:9" x14ac:dyDescent="0.2">
      <c r="A4" s="8">
        <v>46307</v>
      </c>
      <c r="B4" s="9">
        <v>0.57717592592592593</v>
      </c>
      <c r="C4" s="6">
        <v>2.7695310000000002</v>
      </c>
      <c r="D4" s="4">
        <v>646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46307</v>
      </c>
      <c r="B5" s="9">
        <v>0.57718749999999996</v>
      </c>
      <c r="C5" s="6">
        <v>3.3007810000000002</v>
      </c>
      <c r="D5" s="4">
        <v>649</v>
      </c>
      <c r="E5" s="4" t="s">
        <v>36</v>
      </c>
      <c r="F5" s="10">
        <v>0.53</v>
      </c>
      <c r="G5" s="4" t="s">
        <v>37</v>
      </c>
    </row>
    <row r="6" spans="1:9" x14ac:dyDescent="0.2">
      <c r="A6" s="8">
        <v>46307</v>
      </c>
      <c r="B6" s="9">
        <v>0.57718749999999996</v>
      </c>
      <c r="C6" s="6">
        <v>3.8164060000000002</v>
      </c>
      <c r="D6" s="4">
        <v>646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0.57719907407407411</v>
      </c>
      <c r="C7" s="6">
        <v>4.3164059999999997</v>
      </c>
      <c r="D7" s="4">
        <v>649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0.57719907407407411</v>
      </c>
      <c r="C8" s="6">
        <v>4.8164059999999997</v>
      </c>
      <c r="D8" s="4">
        <v>649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0.57721064814814815</v>
      </c>
      <c r="C9" s="6">
        <v>5.3164059999999997</v>
      </c>
      <c r="D9" s="4">
        <v>645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0.57722222222222219</v>
      </c>
      <c r="C10" s="6">
        <v>6.3320309999999997</v>
      </c>
      <c r="D10" s="4">
        <v>646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46307</v>
      </c>
      <c r="B11" s="9">
        <v>0.57722222222222219</v>
      </c>
      <c r="C11" s="6">
        <v>6.8632809999999997</v>
      </c>
      <c r="D11" s="4">
        <v>644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46307</v>
      </c>
      <c r="B12" s="9">
        <v>0.57723379629629634</v>
      </c>
      <c r="C12" s="6">
        <v>7.3945309999999997</v>
      </c>
      <c r="D12" s="4">
        <v>646</v>
      </c>
      <c r="E12" s="4" t="s">
        <v>25</v>
      </c>
      <c r="F12" s="10">
        <v>0.53</v>
      </c>
      <c r="G12" s="4" t="s">
        <v>26</v>
      </c>
    </row>
    <row r="13" spans="1:9" x14ac:dyDescent="0.2">
      <c r="A13" s="8">
        <v>46307</v>
      </c>
      <c r="B13" s="9">
        <v>0.57723379629629634</v>
      </c>
      <c r="C13" s="6">
        <v>7.9257809999999997</v>
      </c>
      <c r="D13" s="4">
        <v>651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0.57724537037037038</v>
      </c>
      <c r="C14" s="6">
        <v>8.4257810000000006</v>
      </c>
      <c r="D14" s="4">
        <v>647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0.57724537037037038</v>
      </c>
      <c r="C15" s="6">
        <v>8.9257810000000006</v>
      </c>
      <c r="D15" s="4">
        <v>649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46307</v>
      </c>
      <c r="B16" s="9">
        <v>0.57725694444444442</v>
      </c>
      <c r="C16" s="6">
        <v>9.4257810000000006</v>
      </c>
      <c r="D16" s="4">
        <v>651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0.57725694444444442</v>
      </c>
      <c r="C17" s="6">
        <v>9.9414060000000006</v>
      </c>
      <c r="D17" s="4">
        <v>647</v>
      </c>
      <c r="E17" s="4" t="s">
        <v>25</v>
      </c>
      <c r="F17" s="10">
        <v>0.53</v>
      </c>
      <c r="G17" s="4" t="s">
        <v>26</v>
      </c>
    </row>
    <row r="18" spans="1:7" x14ac:dyDescent="0.2">
      <c r="A18" s="8">
        <v>46307</v>
      </c>
      <c r="B18" s="9">
        <v>0.57726851851851857</v>
      </c>
      <c r="C18" s="6">
        <v>10.472659999999999</v>
      </c>
      <c r="D18" s="4">
        <v>649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0.57726851851851857</v>
      </c>
      <c r="C19" s="6">
        <v>10.95703</v>
      </c>
      <c r="D19" s="4">
        <v>650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0.57728009259259261</v>
      </c>
      <c r="C20" s="6">
        <v>11.45703</v>
      </c>
      <c r="D20" s="4">
        <v>647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46307</v>
      </c>
      <c r="B21" s="9">
        <v>0.57728009259259261</v>
      </c>
      <c r="C21" s="6">
        <v>11.95703</v>
      </c>
      <c r="D21" s="4">
        <v>646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93554-8D25-4DCC-8E80-A1F4403E7A3A}">
  <sheetPr codeName="工作表5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11.42578125" style="6" customWidth="1"/>
    <col min="4" max="7" width="9.140625" style="4"/>
  </cols>
  <sheetData>
    <row r="1" spans="1:9" x14ac:dyDescent="0.2">
      <c r="A1" s="5" t="s">
        <v>28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0.57793981481481482</v>
      </c>
      <c r="C2" s="6">
        <v>1.8125</v>
      </c>
      <c r="D2" s="4">
        <v>634</v>
      </c>
      <c r="E2" s="4" t="s">
        <v>24</v>
      </c>
      <c r="F2" s="4" t="s">
        <v>24</v>
      </c>
      <c r="G2" s="4" t="s">
        <v>24</v>
      </c>
      <c r="I2">
        <f>AVERAGE(D2:D21)</f>
        <v>627.1</v>
      </c>
    </row>
    <row r="3" spans="1:9" x14ac:dyDescent="0.2">
      <c r="A3" s="8">
        <v>46307</v>
      </c>
      <c r="B3" s="9">
        <v>0.57793981481481482</v>
      </c>
      <c r="C3" s="6">
        <v>2.28125</v>
      </c>
      <c r="D3" s="4">
        <v>631</v>
      </c>
      <c r="E3" s="4" t="s">
        <v>24</v>
      </c>
      <c r="F3" s="4" t="s">
        <v>24</v>
      </c>
      <c r="G3" s="4" t="s">
        <v>24</v>
      </c>
      <c r="I3">
        <f>91*(1023-I2)/I2</f>
        <v>57.450007973210013</v>
      </c>
    </row>
    <row r="4" spans="1:9" x14ac:dyDescent="0.2">
      <c r="A4" s="8">
        <v>46307</v>
      </c>
      <c r="B4" s="9">
        <v>0.57795138888888886</v>
      </c>
      <c r="C4" s="6">
        <v>2.796875</v>
      </c>
      <c r="D4" s="4">
        <v>629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0.57795138888888886</v>
      </c>
      <c r="C5" s="6">
        <v>3.3125</v>
      </c>
      <c r="D5" s="4">
        <v>630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46307</v>
      </c>
      <c r="B6" s="9">
        <v>0.57796296296296301</v>
      </c>
      <c r="C6" s="6">
        <v>3.828125</v>
      </c>
      <c r="D6" s="4">
        <v>630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0.57796296296296301</v>
      </c>
      <c r="C7" s="6">
        <v>4.328125</v>
      </c>
      <c r="D7" s="4">
        <v>630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0.57797453703703705</v>
      </c>
      <c r="C8" s="6">
        <v>4.828125</v>
      </c>
      <c r="D8" s="4">
        <v>628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0.57797453703703705</v>
      </c>
      <c r="C9" s="6">
        <v>5.328125</v>
      </c>
      <c r="D9" s="4">
        <v>629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0.57798611111111109</v>
      </c>
      <c r="C10" s="6">
        <v>5.84375</v>
      </c>
      <c r="D10" s="4">
        <v>626</v>
      </c>
      <c r="E10" s="4" t="s">
        <v>25</v>
      </c>
      <c r="F10" s="10">
        <v>0.53</v>
      </c>
      <c r="G10" s="4" t="s">
        <v>26</v>
      </c>
    </row>
    <row r="11" spans="1:9" x14ac:dyDescent="0.2">
      <c r="A11" s="8">
        <v>46307</v>
      </c>
      <c r="B11" s="9">
        <v>0.57798611111111109</v>
      </c>
      <c r="C11" s="6">
        <v>6.375</v>
      </c>
      <c r="D11" s="4">
        <v>625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0.57799768518518524</v>
      </c>
      <c r="C12" s="6">
        <v>6.875</v>
      </c>
      <c r="D12" s="4">
        <v>627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0.57799768518518524</v>
      </c>
      <c r="C13" s="6">
        <v>7.375</v>
      </c>
      <c r="D13" s="4">
        <v>624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0.57800925925925928</v>
      </c>
      <c r="C14" s="6">
        <v>7.875</v>
      </c>
      <c r="D14" s="4">
        <v>623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0.57802083333333332</v>
      </c>
      <c r="C15" s="6">
        <v>8.890625</v>
      </c>
      <c r="D15" s="4">
        <v>624</v>
      </c>
      <c r="E15" s="4" t="s">
        <v>27</v>
      </c>
      <c r="F15" s="4" t="s">
        <v>27</v>
      </c>
      <c r="G15" s="4">
        <v>-237</v>
      </c>
    </row>
    <row r="16" spans="1:9" x14ac:dyDescent="0.2">
      <c r="A16" s="8">
        <v>46307</v>
      </c>
      <c r="B16" s="9">
        <v>0.57802083333333332</v>
      </c>
      <c r="C16" s="6">
        <v>9.421875</v>
      </c>
      <c r="D16" s="4">
        <v>623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46307</v>
      </c>
      <c r="B17" s="9">
        <v>0.57803240740740736</v>
      </c>
      <c r="C17" s="6">
        <v>9.9492189999999994</v>
      </c>
      <c r="D17" s="4">
        <v>625</v>
      </c>
      <c r="E17" s="4" t="s">
        <v>25</v>
      </c>
      <c r="F17" s="10">
        <v>0.53</v>
      </c>
      <c r="G17" s="4" t="s">
        <v>26</v>
      </c>
    </row>
    <row r="18" spans="1:7" x14ac:dyDescent="0.2">
      <c r="A18" s="8">
        <v>46307</v>
      </c>
      <c r="B18" s="9">
        <v>0.57803240740740736</v>
      </c>
      <c r="C18" s="6">
        <v>10.46875</v>
      </c>
      <c r="D18" s="4">
        <v>625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0.57804398148148151</v>
      </c>
      <c r="C19" s="6">
        <v>10.98047</v>
      </c>
      <c r="D19" s="4">
        <v>627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0.57804398148148151</v>
      </c>
      <c r="C20" s="6">
        <v>11.48047</v>
      </c>
      <c r="D20" s="4">
        <v>626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46307</v>
      </c>
      <c r="B21" s="9">
        <v>0.57805555555555554</v>
      </c>
      <c r="C21" s="6">
        <v>11.98047</v>
      </c>
      <c r="D21" s="4">
        <v>626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7A61-BFC5-438A-B864-EABC785A9369}">
  <sheetPr codeName="工作表6"/>
  <dimension ref="A1:I21"/>
  <sheetViews>
    <sheetView tabSelected="1" workbookViewId="0">
      <selection activeCell="I3" sqref="I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0.57884259259259263</v>
      </c>
      <c r="C2" s="6">
        <v>1.792969</v>
      </c>
      <c r="D2" s="4">
        <v>676</v>
      </c>
      <c r="E2" s="4" t="s">
        <v>24</v>
      </c>
      <c r="F2" s="4" t="s">
        <v>24</v>
      </c>
      <c r="G2" s="4" t="s">
        <v>24</v>
      </c>
      <c r="I2">
        <f>AVERAGE(D2:D21)</f>
        <v>673.9</v>
      </c>
    </row>
    <row r="3" spans="1:9" x14ac:dyDescent="0.2">
      <c r="A3" s="8">
        <v>46307</v>
      </c>
      <c r="B3" s="9">
        <v>0.57885416666666667</v>
      </c>
      <c r="C3" s="6">
        <v>2.2617189999999998</v>
      </c>
      <c r="D3" s="4">
        <v>671</v>
      </c>
      <c r="E3" s="4" t="s">
        <v>24</v>
      </c>
      <c r="F3" s="4" t="s">
        <v>24</v>
      </c>
      <c r="G3" s="4" t="s">
        <v>24</v>
      </c>
      <c r="I3">
        <f>91*(1023-I2)/I2</f>
        <v>47.140673690458527</v>
      </c>
    </row>
    <row r="4" spans="1:9" x14ac:dyDescent="0.2">
      <c r="A4" s="8">
        <v>46307</v>
      </c>
      <c r="B4" s="9">
        <v>0.57885416666666667</v>
      </c>
      <c r="C4" s="6">
        <v>2.7773439999999998</v>
      </c>
      <c r="D4" s="4">
        <v>672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0.57886574074074071</v>
      </c>
      <c r="C5" s="6">
        <v>3.2929689999999998</v>
      </c>
      <c r="D5" s="4">
        <v>673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46307</v>
      </c>
      <c r="B6" s="9">
        <v>0.57886574074074071</v>
      </c>
      <c r="C6" s="6">
        <v>3.8085939999999998</v>
      </c>
      <c r="D6" s="4">
        <v>672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0.57887731481481486</v>
      </c>
      <c r="C7" s="6">
        <v>4.3085940000000003</v>
      </c>
      <c r="D7" s="4">
        <v>673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0.57887731481481486</v>
      </c>
      <c r="C8" s="6">
        <v>4.8085940000000003</v>
      </c>
      <c r="D8" s="4">
        <v>676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0.5788888888888889</v>
      </c>
      <c r="C9" s="6">
        <v>5.3085940000000003</v>
      </c>
      <c r="D9" s="4">
        <v>672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0.57890046296296294</v>
      </c>
      <c r="C10" s="6">
        <v>6.3242190000000003</v>
      </c>
      <c r="D10" s="4">
        <v>676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46307</v>
      </c>
      <c r="B11" s="9">
        <v>0.57890046296296294</v>
      </c>
      <c r="C11" s="6">
        <v>6.8554690000000003</v>
      </c>
      <c r="D11" s="4">
        <v>672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46307</v>
      </c>
      <c r="B12" s="9">
        <v>0.57891203703703709</v>
      </c>
      <c r="C12" s="6">
        <v>7.8867190000000003</v>
      </c>
      <c r="D12" s="4">
        <v>674</v>
      </c>
      <c r="E12" s="4" t="s">
        <v>27</v>
      </c>
      <c r="F12" s="4" t="s">
        <v>27</v>
      </c>
      <c r="G12" s="4">
        <v>-237</v>
      </c>
    </row>
    <row r="13" spans="1:9" x14ac:dyDescent="0.2">
      <c r="A13" s="8">
        <v>46307</v>
      </c>
      <c r="B13" s="9">
        <v>0.57892361111111112</v>
      </c>
      <c r="C13" s="6">
        <v>8.4179689999999994</v>
      </c>
      <c r="D13" s="4">
        <v>676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46307</v>
      </c>
      <c r="B14" s="9">
        <v>0.57893518518518516</v>
      </c>
      <c r="C14" s="6">
        <v>9.4492189999999994</v>
      </c>
      <c r="D14" s="4">
        <v>673</v>
      </c>
      <c r="E14" s="4" t="s">
        <v>27</v>
      </c>
      <c r="F14" s="4" t="s">
        <v>27</v>
      </c>
      <c r="G14" s="4">
        <v>-237</v>
      </c>
    </row>
    <row r="15" spans="1:9" x14ac:dyDescent="0.2">
      <c r="A15" s="8">
        <v>46307</v>
      </c>
      <c r="B15" s="9">
        <v>0.57893518518518516</v>
      </c>
      <c r="C15" s="6">
        <v>9.9804689999999994</v>
      </c>
      <c r="D15" s="4">
        <v>677</v>
      </c>
      <c r="E15" s="4" t="s">
        <v>27</v>
      </c>
      <c r="F15" s="4" t="s">
        <v>27</v>
      </c>
      <c r="G15" s="4">
        <v>4112</v>
      </c>
    </row>
    <row r="16" spans="1:9" x14ac:dyDescent="0.2">
      <c r="A16" s="8">
        <v>46307</v>
      </c>
      <c r="B16" s="9">
        <v>0.57894675925925931</v>
      </c>
      <c r="C16" s="6">
        <v>11.01172</v>
      </c>
      <c r="D16" s="4">
        <v>673</v>
      </c>
      <c r="E16" s="4" t="s">
        <v>27</v>
      </c>
      <c r="F16" s="4" t="s">
        <v>27</v>
      </c>
      <c r="G16" s="4">
        <v>-237</v>
      </c>
    </row>
    <row r="17" spans="1:8" x14ac:dyDescent="0.2">
      <c r="A17" s="8">
        <v>46307</v>
      </c>
      <c r="B17" s="9">
        <v>0.57895833333333335</v>
      </c>
      <c r="C17" s="6">
        <v>11.54297</v>
      </c>
      <c r="D17" s="4">
        <v>672</v>
      </c>
      <c r="E17" s="4" t="s">
        <v>27</v>
      </c>
      <c r="F17" s="4" t="s">
        <v>27</v>
      </c>
      <c r="G17" s="4">
        <v>4112</v>
      </c>
    </row>
    <row r="18" spans="1:8" x14ac:dyDescent="0.2">
      <c r="A18" s="8">
        <v>46307</v>
      </c>
      <c r="B18" s="9">
        <v>0.57895833333333335</v>
      </c>
      <c r="C18" s="6">
        <v>12.07422</v>
      </c>
      <c r="D18" s="4">
        <v>676</v>
      </c>
      <c r="E18" s="4" t="s">
        <v>25</v>
      </c>
      <c r="F18" s="10">
        <v>0.53</v>
      </c>
      <c r="G18" s="4" t="s">
        <v>26</v>
      </c>
    </row>
    <row r="19" spans="1:8" x14ac:dyDescent="0.2">
      <c r="A19" s="8">
        <v>46307</v>
      </c>
      <c r="B19" s="9">
        <v>0.57896990740740739</v>
      </c>
      <c r="C19" s="6">
        <v>12.60547</v>
      </c>
      <c r="D19" s="4">
        <v>673</v>
      </c>
      <c r="E19" s="4" t="s">
        <v>24</v>
      </c>
      <c r="F19" s="4" t="s">
        <v>24</v>
      </c>
      <c r="G19" s="4" t="s">
        <v>24</v>
      </c>
    </row>
    <row r="20" spans="1:8" x14ac:dyDescent="0.2">
      <c r="A20" s="8">
        <v>46307</v>
      </c>
      <c r="B20" s="9">
        <v>0.57896990740740739</v>
      </c>
      <c r="C20" s="6">
        <v>13.10547</v>
      </c>
      <c r="D20" s="4">
        <v>676</v>
      </c>
      <c r="E20" s="4" t="s">
        <v>24</v>
      </c>
      <c r="F20" s="4" t="s">
        <v>24</v>
      </c>
      <c r="G20" s="4" t="s">
        <v>24</v>
      </c>
      <c r="H20" s="17"/>
    </row>
    <row r="21" spans="1:8" x14ac:dyDescent="0.2">
      <c r="A21" s="8">
        <v>46307</v>
      </c>
      <c r="B21" s="9">
        <v>0.57898148148148143</v>
      </c>
      <c r="C21" s="6">
        <v>13.601559999999999</v>
      </c>
      <c r="D21" s="4">
        <v>675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EEAF1-A62D-4A14-A61C-416565F4C601}">
  <sheetPr codeName="工作表7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0.58004629629629634</v>
      </c>
      <c r="C2" s="6">
        <v>4.2148440000000003</v>
      </c>
      <c r="D2" s="4">
        <v>611</v>
      </c>
      <c r="E2" s="4" t="s">
        <v>24</v>
      </c>
      <c r="F2" s="4" t="s">
        <v>24</v>
      </c>
      <c r="G2" s="4" t="s">
        <v>24</v>
      </c>
      <c r="I2">
        <f>AVERAGE(D2:D21)</f>
        <v>614.15</v>
      </c>
    </row>
    <row r="3" spans="1:9" x14ac:dyDescent="0.2">
      <c r="A3" s="8">
        <v>46307</v>
      </c>
      <c r="B3" s="9">
        <v>0.58004629629629634</v>
      </c>
      <c r="C3" s="6">
        <v>4.2226559999999997</v>
      </c>
      <c r="D3" s="4">
        <v>616</v>
      </c>
      <c r="E3" s="4" t="s">
        <v>24</v>
      </c>
      <c r="F3" s="4" t="s">
        <v>24</v>
      </c>
      <c r="G3" s="4" t="s">
        <v>24</v>
      </c>
      <c r="I3">
        <f>91*(1023-I2)/I2</f>
        <v>60.580232842139544</v>
      </c>
    </row>
    <row r="4" spans="1:9" x14ac:dyDescent="0.2">
      <c r="A4" s="8">
        <v>46307</v>
      </c>
      <c r="B4" s="9">
        <v>0.58004629629629634</v>
      </c>
      <c r="C4" s="6">
        <v>4.2304690000000003</v>
      </c>
      <c r="D4" s="4">
        <v>617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0.58004629629629634</v>
      </c>
      <c r="C5" s="6">
        <v>4.2382809999999997</v>
      </c>
      <c r="D5" s="4">
        <v>612</v>
      </c>
      <c r="E5" s="4" t="s">
        <v>25</v>
      </c>
      <c r="F5" s="10">
        <v>0.52</v>
      </c>
      <c r="G5" s="4" t="s">
        <v>26</v>
      </c>
    </row>
    <row r="6" spans="1:9" x14ac:dyDescent="0.2">
      <c r="A6" s="8">
        <v>46307</v>
      </c>
      <c r="B6" s="9">
        <v>0.58004629629629634</v>
      </c>
      <c r="C6" s="6">
        <v>4.2421879999999996</v>
      </c>
      <c r="D6" s="4">
        <v>613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0.58004629629629634</v>
      </c>
      <c r="C7" s="6">
        <v>4.3320309999999997</v>
      </c>
      <c r="D7" s="4">
        <v>612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0.58004629629629634</v>
      </c>
      <c r="C8" s="6">
        <v>4.8320309999999997</v>
      </c>
      <c r="D8" s="4">
        <v>617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0.58005787037037038</v>
      </c>
      <c r="C9" s="6">
        <v>5.328125</v>
      </c>
      <c r="D9" s="4">
        <v>613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0.58005787037037038</v>
      </c>
      <c r="C10" s="6">
        <v>5.8476559999999997</v>
      </c>
      <c r="D10" s="4">
        <v>612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46307</v>
      </c>
      <c r="B11" s="9">
        <v>0.58006944444444442</v>
      </c>
      <c r="C11" s="6">
        <v>6.3632809999999997</v>
      </c>
      <c r="D11" s="4">
        <v>614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0.58006944444444442</v>
      </c>
      <c r="C12" s="6">
        <v>6.8632809999999997</v>
      </c>
      <c r="D12" s="4">
        <v>615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0.58008101851851857</v>
      </c>
      <c r="C13" s="6">
        <v>7.3632809999999997</v>
      </c>
      <c r="D13" s="4">
        <v>615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0.58008101851851857</v>
      </c>
      <c r="C14" s="6">
        <v>7.8632809999999997</v>
      </c>
      <c r="D14" s="4">
        <v>612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0.5800925925925926</v>
      </c>
      <c r="C15" s="6">
        <v>8.3945310000000006</v>
      </c>
      <c r="D15" s="4">
        <v>616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46307</v>
      </c>
      <c r="B16" s="9">
        <v>0.58010416666666664</v>
      </c>
      <c r="C16" s="6">
        <v>8.9101560000000006</v>
      </c>
      <c r="D16" s="4">
        <v>614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0.58010416666666664</v>
      </c>
      <c r="C17" s="6">
        <v>9.4101560000000006</v>
      </c>
      <c r="D17" s="4">
        <v>618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0.58011574074074079</v>
      </c>
      <c r="C18" s="6">
        <v>9.9101560000000006</v>
      </c>
      <c r="D18" s="4">
        <v>613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0.58011574074074079</v>
      </c>
      <c r="C19" s="6">
        <v>10.410159999999999</v>
      </c>
      <c r="D19" s="4">
        <v>617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0.58012731481481483</v>
      </c>
      <c r="C20" s="6">
        <v>10.92578</v>
      </c>
      <c r="D20" s="4">
        <v>614</v>
      </c>
      <c r="E20" s="4" t="s">
        <v>25</v>
      </c>
      <c r="F20" s="10">
        <v>0.52</v>
      </c>
      <c r="G20" s="4" t="s">
        <v>26</v>
      </c>
    </row>
    <row r="21" spans="1:7" x14ac:dyDescent="0.2">
      <c r="A21" s="8">
        <v>46307</v>
      </c>
      <c r="B21" s="9">
        <v>0.58012731481481483</v>
      </c>
      <c r="C21" s="6">
        <v>11.45703</v>
      </c>
      <c r="D21" s="4">
        <v>612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E94D-2208-48D9-A8C0-B7B07808DEE7}">
  <sheetPr codeName="工作表8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0.58074074074074078</v>
      </c>
      <c r="C2" s="6">
        <v>1.816406</v>
      </c>
      <c r="D2" s="4">
        <v>626</v>
      </c>
      <c r="E2" s="4" t="s">
        <v>24</v>
      </c>
      <c r="F2" s="4" t="s">
        <v>24</v>
      </c>
      <c r="G2" s="4" t="s">
        <v>24</v>
      </c>
      <c r="I2">
        <f>AVERAGE(D2:D21)</f>
        <v>622.85</v>
      </c>
    </row>
    <row r="3" spans="1:9" x14ac:dyDescent="0.2">
      <c r="A3" s="8">
        <v>46307</v>
      </c>
      <c r="B3" s="9">
        <v>0.58074074074074078</v>
      </c>
      <c r="C3" s="6">
        <v>2.2851560000000002</v>
      </c>
      <c r="D3" s="4">
        <v>627</v>
      </c>
      <c r="E3" s="4" t="s">
        <v>24</v>
      </c>
      <c r="F3" s="4" t="s">
        <v>24</v>
      </c>
      <c r="G3" s="4" t="s">
        <v>24</v>
      </c>
      <c r="I3">
        <f>91*(1023-I2)/I2</f>
        <v>58.462952556795379</v>
      </c>
    </row>
    <row r="4" spans="1:9" x14ac:dyDescent="0.2">
      <c r="A4" s="8">
        <v>46307</v>
      </c>
      <c r="B4" s="9">
        <v>0.58075231481481482</v>
      </c>
      <c r="C4" s="6">
        <v>2.7851560000000002</v>
      </c>
      <c r="D4" s="4">
        <v>624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0.58075231481481482</v>
      </c>
      <c r="C5" s="6">
        <v>3.296875</v>
      </c>
      <c r="D5" s="4">
        <v>626</v>
      </c>
      <c r="E5" s="4" t="s">
        <v>25</v>
      </c>
      <c r="F5" s="10">
        <v>0.52</v>
      </c>
      <c r="G5" s="4" t="s">
        <v>26</v>
      </c>
    </row>
    <row r="6" spans="1:9" x14ac:dyDescent="0.2">
      <c r="A6" s="8">
        <v>46307</v>
      </c>
      <c r="B6" s="9">
        <v>0.58076388888888886</v>
      </c>
      <c r="C6" s="6">
        <v>3.8164060000000002</v>
      </c>
      <c r="D6" s="4">
        <v>621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0.58076388888888886</v>
      </c>
      <c r="C7" s="6">
        <v>4.328125</v>
      </c>
      <c r="D7" s="4">
        <v>627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0.58077546296296301</v>
      </c>
      <c r="C8" s="6">
        <v>4.828125</v>
      </c>
      <c r="D8" s="4">
        <v>624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0.58077546296296301</v>
      </c>
      <c r="C9" s="6">
        <v>5.328125</v>
      </c>
      <c r="D9" s="4">
        <v>621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0.58078703703703705</v>
      </c>
      <c r="C10" s="6">
        <v>5.84375</v>
      </c>
      <c r="D10" s="4">
        <v>622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46307</v>
      </c>
      <c r="B11" s="9">
        <v>0.58078703703703705</v>
      </c>
      <c r="C11" s="6">
        <v>6.359375</v>
      </c>
      <c r="D11" s="4">
        <v>620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0.58079861111111108</v>
      </c>
      <c r="C12" s="6">
        <v>6.859375</v>
      </c>
      <c r="D12" s="4">
        <v>623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0.58079861111111108</v>
      </c>
      <c r="C13" s="6">
        <v>7.375</v>
      </c>
      <c r="D13" s="4">
        <v>621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0.58081018518518523</v>
      </c>
      <c r="C14" s="6">
        <v>7.875</v>
      </c>
      <c r="D14" s="4">
        <v>623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0.58081018518518523</v>
      </c>
      <c r="C15" s="6">
        <v>8.3945310000000006</v>
      </c>
      <c r="D15" s="4">
        <v>619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46307</v>
      </c>
      <c r="B16" s="9">
        <v>0.58082175925925927</v>
      </c>
      <c r="C16" s="6">
        <v>8.9101560000000006</v>
      </c>
      <c r="D16" s="4">
        <v>625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0.58082175925925927</v>
      </c>
      <c r="C17" s="6">
        <v>9.4101560000000006</v>
      </c>
      <c r="D17" s="4">
        <v>623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0.58083333333333331</v>
      </c>
      <c r="C18" s="6">
        <v>9.9101560000000006</v>
      </c>
      <c r="D18" s="4">
        <v>621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0.58083333333333331</v>
      </c>
      <c r="C19" s="6">
        <v>10.410159999999999</v>
      </c>
      <c r="D19" s="4">
        <v>624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0.58084490740740746</v>
      </c>
      <c r="C20" s="6">
        <v>10.92578</v>
      </c>
      <c r="D20" s="4">
        <v>621</v>
      </c>
      <c r="E20" s="4" t="s">
        <v>25</v>
      </c>
      <c r="F20" s="10">
        <v>0.52</v>
      </c>
      <c r="G20" s="4" t="s">
        <v>26</v>
      </c>
    </row>
    <row r="21" spans="1:7" x14ac:dyDescent="0.2">
      <c r="A21" s="8">
        <v>46307</v>
      </c>
      <c r="B21" s="9">
        <v>0.58084490740740746</v>
      </c>
      <c r="C21" s="6">
        <v>11.45703</v>
      </c>
      <c r="D21" s="4">
        <v>619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0F85B-5019-4F3B-B609-19E7D96F7333}">
  <sheetPr codeName="工作表9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e">
        <f>AVERAGE(XEZ1)</f>
        <v>#DIV/0!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0.58149305555555553</v>
      </c>
      <c r="C2" s="6">
        <v>1.792969</v>
      </c>
      <c r="D2" s="4">
        <v>584</v>
      </c>
      <c r="E2" s="4" t="s">
        <v>24</v>
      </c>
      <c r="F2" s="4" t="s">
        <v>24</v>
      </c>
      <c r="G2" s="4" t="s">
        <v>24</v>
      </c>
      <c r="I2">
        <f>AVERAGE(D2:D21)</f>
        <v>585.54999999999995</v>
      </c>
    </row>
    <row r="3" spans="1:9" x14ac:dyDescent="0.2">
      <c r="A3" s="8">
        <v>46307</v>
      </c>
      <c r="B3" s="9">
        <v>0.58149305555555553</v>
      </c>
      <c r="C3" s="6">
        <v>2.2773439999999998</v>
      </c>
      <c r="D3" s="4">
        <v>583</v>
      </c>
      <c r="E3" s="4" t="s">
        <v>24</v>
      </c>
      <c r="F3" s="4" t="s">
        <v>24</v>
      </c>
      <c r="G3" s="4" t="s">
        <v>24</v>
      </c>
      <c r="I3">
        <f>91*(1023-I2)/I2</f>
        <v>67.98386132695758</v>
      </c>
    </row>
    <row r="4" spans="1:9" x14ac:dyDescent="0.2">
      <c r="A4" s="8">
        <v>46307</v>
      </c>
      <c r="B4" s="9">
        <v>0.58150462962962968</v>
      </c>
      <c r="C4" s="6">
        <v>2.765625</v>
      </c>
      <c r="D4" s="4">
        <v>588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0.58150462962962968</v>
      </c>
      <c r="C5" s="6">
        <v>3.28125</v>
      </c>
      <c r="D5" s="4">
        <v>588</v>
      </c>
      <c r="E5" s="4" t="s">
        <v>25</v>
      </c>
      <c r="F5" s="10">
        <v>0.52</v>
      </c>
      <c r="G5" s="4" t="s">
        <v>26</v>
      </c>
    </row>
    <row r="6" spans="1:9" x14ac:dyDescent="0.2">
      <c r="A6" s="8">
        <v>46307</v>
      </c>
      <c r="B6" s="9">
        <v>0.58151620370370372</v>
      </c>
      <c r="C6" s="6">
        <v>3.8125</v>
      </c>
      <c r="D6" s="4">
        <v>583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0.58151620370370372</v>
      </c>
      <c r="C7" s="6">
        <v>4.3125</v>
      </c>
      <c r="D7" s="4">
        <v>587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0.58152777777777775</v>
      </c>
      <c r="C8" s="6">
        <v>4.8125</v>
      </c>
      <c r="D8" s="4">
        <v>588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0.58152777777777775</v>
      </c>
      <c r="C9" s="6">
        <v>5.3125</v>
      </c>
      <c r="D9" s="4">
        <v>583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0.5815393518518519</v>
      </c>
      <c r="C10" s="6">
        <v>5.828125</v>
      </c>
      <c r="D10" s="4">
        <v>585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46307</v>
      </c>
      <c r="B11" s="9">
        <v>0.5815393518518519</v>
      </c>
      <c r="C11" s="6">
        <v>6.359375</v>
      </c>
      <c r="D11" s="4">
        <v>585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0.58155092592592594</v>
      </c>
      <c r="C12" s="6">
        <v>6.859375</v>
      </c>
      <c r="D12" s="4">
        <v>589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0.58155092592592594</v>
      </c>
      <c r="C13" s="6">
        <v>7.3554690000000003</v>
      </c>
      <c r="D13" s="4">
        <v>584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0.58156249999999998</v>
      </c>
      <c r="C14" s="6">
        <v>7.8554690000000003</v>
      </c>
      <c r="D14" s="4">
        <v>583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0.58156249999999998</v>
      </c>
      <c r="C15" s="6">
        <v>8.375</v>
      </c>
      <c r="D15" s="4">
        <v>588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46307</v>
      </c>
      <c r="B16" s="9">
        <v>0.58157407407407402</v>
      </c>
      <c r="C16" s="6">
        <v>8.8867189999999994</v>
      </c>
      <c r="D16" s="4">
        <v>583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0.58157407407407402</v>
      </c>
      <c r="C17" s="6">
        <v>9.4023439999999994</v>
      </c>
      <c r="D17" s="4">
        <v>588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0.58158564814814817</v>
      </c>
      <c r="C18" s="6">
        <v>9.9023439999999994</v>
      </c>
      <c r="D18" s="4">
        <v>583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0.58158564814814817</v>
      </c>
      <c r="C19" s="6">
        <v>10.402340000000001</v>
      </c>
      <c r="D19" s="4">
        <v>588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0.58159722222222221</v>
      </c>
      <c r="C20" s="6">
        <v>10.91797</v>
      </c>
      <c r="D20" s="4">
        <v>584</v>
      </c>
      <c r="E20" s="4" t="s">
        <v>25</v>
      </c>
      <c r="F20" s="10">
        <v>0.52</v>
      </c>
      <c r="G20" s="4" t="s">
        <v>26</v>
      </c>
    </row>
    <row r="21" spans="1:7" x14ac:dyDescent="0.2">
      <c r="A21" s="8">
        <v>46307</v>
      </c>
      <c r="B21" s="9">
        <v>0.58160879629629625</v>
      </c>
      <c r="C21" s="6">
        <v>11.433590000000001</v>
      </c>
      <c r="D21" s="4">
        <v>587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03834-BCEF-4F36-BBEF-10E6C074FCCC}">
  <sheetPr codeName="工作表10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e">
        <f>AVERAGE(XEZ1)</f>
        <v>#DIV/0!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0.58233796296296292</v>
      </c>
      <c r="C2" s="6">
        <v>1.808594</v>
      </c>
      <c r="D2" s="4">
        <v>658</v>
      </c>
      <c r="E2" s="4" t="s">
        <v>24</v>
      </c>
      <c r="F2" s="4" t="s">
        <v>24</v>
      </c>
      <c r="G2" s="4" t="s">
        <v>24</v>
      </c>
      <c r="I2">
        <f>AVERAGE(D2:D21)</f>
        <v>649.85</v>
      </c>
    </row>
    <row r="3" spans="1:9" x14ac:dyDescent="0.2">
      <c r="A3" s="8">
        <v>46307</v>
      </c>
      <c r="B3" s="9">
        <v>0.58234953703703707</v>
      </c>
      <c r="C3" s="6">
        <v>2.28125</v>
      </c>
      <c r="D3" s="4">
        <v>655</v>
      </c>
      <c r="E3" s="4" t="s">
        <v>24</v>
      </c>
      <c r="F3" s="4" t="s">
        <v>24</v>
      </c>
      <c r="G3" s="4" t="s">
        <v>24</v>
      </c>
      <c r="I3">
        <f>91*(1023-I2)/I2</f>
        <v>52.253058398091866</v>
      </c>
    </row>
    <row r="4" spans="1:9" x14ac:dyDescent="0.2">
      <c r="A4" s="8">
        <v>46307</v>
      </c>
      <c r="B4" s="9">
        <v>0.58234953703703707</v>
      </c>
      <c r="C4" s="6">
        <v>2.78125</v>
      </c>
      <c r="D4" s="4">
        <v>654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0.58236111111111111</v>
      </c>
      <c r="C5" s="6">
        <v>3.3085939999999998</v>
      </c>
      <c r="D5" s="4">
        <v>653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46307</v>
      </c>
      <c r="B6" s="9">
        <v>0.58236111111111111</v>
      </c>
      <c r="C6" s="6">
        <v>3.8242189999999998</v>
      </c>
      <c r="D6" s="4">
        <v>651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0.58237268518518515</v>
      </c>
      <c r="C7" s="6">
        <v>4.3242190000000003</v>
      </c>
      <c r="D7" s="4">
        <v>649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0.58237268518518515</v>
      </c>
      <c r="C8" s="6">
        <v>4.8242190000000003</v>
      </c>
      <c r="D8" s="4">
        <v>653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0.5823842592592593</v>
      </c>
      <c r="C9" s="6">
        <v>5.3242190000000003</v>
      </c>
      <c r="D9" s="4">
        <v>652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0.5823842592592593</v>
      </c>
      <c r="C10" s="6">
        <v>5.8398440000000003</v>
      </c>
      <c r="D10" s="4">
        <v>648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46307</v>
      </c>
      <c r="B11" s="9">
        <v>0.58239583333333333</v>
      </c>
      <c r="C11" s="6">
        <v>6.375</v>
      </c>
      <c r="D11" s="4">
        <v>647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46307</v>
      </c>
      <c r="B12" s="9">
        <v>0.58239583333333333</v>
      </c>
      <c r="C12" s="6">
        <v>6.890625</v>
      </c>
      <c r="D12" s="4">
        <v>650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46307</v>
      </c>
      <c r="B13" s="9">
        <v>0.58240740740740737</v>
      </c>
      <c r="C13" s="6">
        <v>7.4375</v>
      </c>
      <c r="D13" s="4">
        <v>650</v>
      </c>
      <c r="E13" s="4" t="s">
        <v>25</v>
      </c>
      <c r="F13" s="10">
        <v>0.53</v>
      </c>
      <c r="G13" s="4" t="s">
        <v>26</v>
      </c>
    </row>
    <row r="14" spans="1:9" x14ac:dyDescent="0.2">
      <c r="A14" s="8">
        <v>46307</v>
      </c>
      <c r="B14" s="9">
        <v>0.58240740740740737</v>
      </c>
      <c r="C14" s="6">
        <v>7.953125</v>
      </c>
      <c r="D14" s="4">
        <v>646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0.58241898148148152</v>
      </c>
      <c r="C15" s="6">
        <v>8.453125</v>
      </c>
      <c r="D15" s="4">
        <v>648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46307</v>
      </c>
      <c r="B16" s="9">
        <v>0.58241898148148152</v>
      </c>
      <c r="C16" s="6">
        <v>8.953125</v>
      </c>
      <c r="D16" s="4">
        <v>646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0.58243055555555556</v>
      </c>
      <c r="C17" s="6">
        <v>9.453125</v>
      </c>
      <c r="D17" s="4">
        <v>648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0.58243055555555556</v>
      </c>
      <c r="C18" s="6">
        <v>9.96875</v>
      </c>
      <c r="D18" s="4">
        <v>648</v>
      </c>
      <c r="E18" s="4" t="s">
        <v>25</v>
      </c>
      <c r="F18" s="10">
        <v>0.53</v>
      </c>
      <c r="G18" s="4" t="s">
        <v>26</v>
      </c>
    </row>
    <row r="19" spans="1:7" x14ac:dyDescent="0.2">
      <c r="A19" s="8">
        <v>46307</v>
      </c>
      <c r="B19" s="9">
        <v>0.5824421296296296</v>
      </c>
      <c r="C19" s="6">
        <v>10.5</v>
      </c>
      <c r="D19" s="4">
        <v>648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0.5824421296296296</v>
      </c>
      <c r="C20" s="6">
        <v>11</v>
      </c>
      <c r="D20" s="4">
        <v>647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46307</v>
      </c>
      <c r="B21" s="9">
        <v>0.58245370370370375</v>
      </c>
      <c r="C21" s="6">
        <v>11.5</v>
      </c>
      <c r="D21" s="4">
        <v>646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65B21-8874-416C-BAC6-B69769EA4213}">
  <sheetPr codeName="工作表11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0.5832060185185185</v>
      </c>
      <c r="C2" s="6">
        <v>1.8125</v>
      </c>
      <c r="D2" s="4">
        <v>641</v>
      </c>
      <c r="E2" s="4" t="s">
        <v>24</v>
      </c>
      <c r="F2" s="4" t="s">
        <v>24</v>
      </c>
      <c r="G2" s="4" t="s">
        <v>24</v>
      </c>
      <c r="I2">
        <f>AVERAGE(D2:D21)</f>
        <v>632.9</v>
      </c>
    </row>
    <row r="3" spans="1:9" x14ac:dyDescent="0.2">
      <c r="A3" s="8">
        <v>46307</v>
      </c>
      <c r="B3" s="9">
        <v>0.5832060185185185</v>
      </c>
      <c r="C3" s="6">
        <v>2.2773439999999998</v>
      </c>
      <c r="D3" s="4">
        <v>643</v>
      </c>
      <c r="E3" s="4" t="s">
        <v>24</v>
      </c>
      <c r="F3" s="4" t="s">
        <v>24</v>
      </c>
      <c r="G3" s="4" t="s">
        <v>24</v>
      </c>
      <c r="I3">
        <f>91*(1023-I2)/I2</f>
        <v>56.089587612577027</v>
      </c>
    </row>
    <row r="4" spans="1:9" x14ac:dyDescent="0.2">
      <c r="A4" s="8">
        <v>46307</v>
      </c>
      <c r="B4" s="9">
        <v>0.58321759259259254</v>
      </c>
      <c r="C4" s="6">
        <v>2.7773439999999998</v>
      </c>
      <c r="D4" s="4">
        <v>634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0.58321759259259254</v>
      </c>
      <c r="C5" s="6">
        <v>3.3085939999999998</v>
      </c>
      <c r="D5" s="4">
        <v>636</v>
      </c>
      <c r="E5" s="4" t="s">
        <v>25</v>
      </c>
      <c r="F5" s="10">
        <v>0.52</v>
      </c>
      <c r="G5" s="4" t="s">
        <v>26</v>
      </c>
    </row>
    <row r="6" spans="1:9" x14ac:dyDescent="0.2">
      <c r="A6" s="8">
        <v>46307</v>
      </c>
      <c r="B6" s="9">
        <v>0.58322916666666669</v>
      </c>
      <c r="C6" s="6">
        <v>3.8242189999999998</v>
      </c>
      <c r="D6" s="4">
        <v>636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0.58322916666666669</v>
      </c>
      <c r="C7" s="6">
        <v>4.3242190000000003</v>
      </c>
      <c r="D7" s="4">
        <v>632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0.58324074074074073</v>
      </c>
      <c r="C8" s="6">
        <v>4.8242190000000003</v>
      </c>
      <c r="D8" s="4">
        <v>632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0.58324074074074073</v>
      </c>
      <c r="C9" s="6">
        <v>5.3242190000000003</v>
      </c>
      <c r="D9" s="4">
        <v>632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0.58325231481481477</v>
      </c>
      <c r="C10" s="6">
        <v>5.8398440000000003</v>
      </c>
      <c r="D10" s="4">
        <v>634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46307</v>
      </c>
      <c r="B11" s="9">
        <v>0.58325231481481477</v>
      </c>
      <c r="C11" s="6">
        <v>6.3710940000000003</v>
      </c>
      <c r="D11" s="4">
        <v>630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0.58326388888888892</v>
      </c>
      <c r="C12" s="6">
        <v>6.8710940000000003</v>
      </c>
      <c r="D12" s="4">
        <v>633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0.58326388888888892</v>
      </c>
      <c r="C13" s="6">
        <v>7.3710940000000003</v>
      </c>
      <c r="D13" s="4">
        <v>634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0.58327546296296295</v>
      </c>
      <c r="C14" s="6">
        <v>7.8710940000000003</v>
      </c>
      <c r="D14" s="4">
        <v>633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0.58327546296296295</v>
      </c>
      <c r="C15" s="6">
        <v>8.3867189999999994</v>
      </c>
      <c r="D15" s="4">
        <v>630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46307</v>
      </c>
      <c r="B16" s="9">
        <v>0.58328703703703699</v>
      </c>
      <c r="C16" s="6">
        <v>8.9179689999999994</v>
      </c>
      <c r="D16" s="4">
        <v>629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0.58328703703703699</v>
      </c>
      <c r="C17" s="6">
        <v>9.4179689999999994</v>
      </c>
      <c r="D17" s="4">
        <v>632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0.58329861111111114</v>
      </c>
      <c r="C18" s="6">
        <v>9.9179689999999994</v>
      </c>
      <c r="D18" s="4">
        <v>632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0.58329861111111114</v>
      </c>
      <c r="C19" s="6">
        <v>10.41797</v>
      </c>
      <c r="D19" s="4">
        <v>630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0.58331018518518518</v>
      </c>
      <c r="C20" s="6">
        <v>10.933590000000001</v>
      </c>
      <c r="D20" s="4">
        <v>627</v>
      </c>
      <c r="E20" s="4" t="s">
        <v>25</v>
      </c>
      <c r="F20" s="10">
        <v>0.52</v>
      </c>
      <c r="G20" s="4" t="s">
        <v>26</v>
      </c>
    </row>
    <row r="21" spans="1:7" x14ac:dyDescent="0.2">
      <c r="A21" s="8">
        <v>46307</v>
      </c>
      <c r="B21" s="9">
        <v>0.58331018518518518</v>
      </c>
      <c r="C21" s="6">
        <v>11.44922</v>
      </c>
      <c r="D21" s="4">
        <v>628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8457C-43DB-49D2-9003-91D9B356D546}">
  <sheetPr codeName="工作表12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0.58401620370370366</v>
      </c>
      <c r="C2" s="6">
        <v>1.8046880000000001</v>
      </c>
      <c r="D2" s="4">
        <v>559</v>
      </c>
      <c r="E2" s="4" t="s">
        <v>24</v>
      </c>
      <c r="F2" s="4" t="s">
        <v>24</v>
      </c>
      <c r="G2" s="4" t="s">
        <v>24</v>
      </c>
      <c r="I2">
        <f>AVERAGE(D2:D21)</f>
        <v>551.85</v>
      </c>
    </row>
    <row r="3" spans="1:9" x14ac:dyDescent="0.2">
      <c r="A3" s="8">
        <v>46307</v>
      </c>
      <c r="B3" s="9">
        <v>0.58401620370370366</v>
      </c>
      <c r="C3" s="6">
        <v>2.2734380000000001</v>
      </c>
      <c r="D3" s="4">
        <v>555</v>
      </c>
      <c r="E3" s="4" t="s">
        <v>24</v>
      </c>
      <c r="F3" s="4" t="s">
        <v>24</v>
      </c>
      <c r="G3" s="4" t="s">
        <v>24</v>
      </c>
      <c r="I3">
        <f>91*(1023-I2)/I2</f>
        <v>77.692579505300358</v>
      </c>
    </row>
    <row r="4" spans="1:9" x14ac:dyDescent="0.2">
      <c r="A4" s="8">
        <v>46307</v>
      </c>
      <c r="B4" s="9">
        <v>0.58402777777777781</v>
      </c>
      <c r="C4" s="6">
        <v>2.7695310000000002</v>
      </c>
      <c r="D4" s="4">
        <v>557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0.58402777777777781</v>
      </c>
      <c r="C5" s="6">
        <v>3.3046880000000001</v>
      </c>
      <c r="D5" s="4">
        <v>554</v>
      </c>
      <c r="E5" s="4" t="s">
        <v>25</v>
      </c>
      <c r="F5" s="10">
        <v>0.52</v>
      </c>
      <c r="G5" s="4" t="s">
        <v>26</v>
      </c>
    </row>
    <row r="6" spans="1:9" x14ac:dyDescent="0.2">
      <c r="A6" s="8">
        <v>46307</v>
      </c>
      <c r="B6" s="9">
        <v>0.58403935185185185</v>
      </c>
      <c r="C6" s="6">
        <v>3.8164060000000002</v>
      </c>
      <c r="D6" s="4">
        <v>553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0.58403935185185185</v>
      </c>
      <c r="C7" s="6">
        <v>4.3164059999999997</v>
      </c>
      <c r="D7" s="4">
        <v>553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0.58405092592592589</v>
      </c>
      <c r="C8" s="6">
        <v>4.8164059999999997</v>
      </c>
      <c r="D8" s="4">
        <v>550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0.58405092592592589</v>
      </c>
      <c r="C9" s="6">
        <v>5.3164059999999997</v>
      </c>
      <c r="D9" s="4">
        <v>550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0.58406250000000004</v>
      </c>
      <c r="C10" s="6">
        <v>5.8476559999999997</v>
      </c>
      <c r="D10" s="4">
        <v>552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46307</v>
      </c>
      <c r="B11" s="9">
        <v>0.58406250000000004</v>
      </c>
      <c r="C11" s="6">
        <v>6.3632809999999997</v>
      </c>
      <c r="D11" s="4">
        <v>554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0.58407407407407408</v>
      </c>
      <c r="C12" s="6">
        <v>6.8632809999999997</v>
      </c>
      <c r="D12" s="4">
        <v>551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0.58407407407407408</v>
      </c>
      <c r="C13" s="6">
        <v>7.3710940000000003</v>
      </c>
      <c r="D13" s="4">
        <v>549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0.58408564814814812</v>
      </c>
      <c r="C14" s="6">
        <v>7.8710940000000003</v>
      </c>
      <c r="D14" s="4">
        <v>548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0.58408564814814812</v>
      </c>
      <c r="C15" s="6">
        <v>8.3867189999999994</v>
      </c>
      <c r="D15" s="4">
        <v>548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46307</v>
      </c>
      <c r="B16" s="9">
        <v>0.58409722222222227</v>
      </c>
      <c r="C16" s="6">
        <v>8.9023439999999994</v>
      </c>
      <c r="D16" s="4">
        <v>552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0.58409722222222227</v>
      </c>
      <c r="C17" s="6">
        <v>9.4023439999999994</v>
      </c>
      <c r="D17" s="4">
        <v>550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0.58410879629629631</v>
      </c>
      <c r="C18" s="6">
        <v>9.9140630000000005</v>
      </c>
      <c r="D18" s="4">
        <v>550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0.58410879629629631</v>
      </c>
      <c r="C19" s="6">
        <v>10.414059999999999</v>
      </c>
      <c r="D19" s="4">
        <v>552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0.58412037037037035</v>
      </c>
      <c r="C20" s="6">
        <v>10.933590000000001</v>
      </c>
      <c r="D20" s="4">
        <v>551</v>
      </c>
      <c r="E20" s="4" t="s">
        <v>25</v>
      </c>
      <c r="F20" s="10">
        <v>0.52</v>
      </c>
      <c r="G20" s="4" t="s">
        <v>26</v>
      </c>
    </row>
    <row r="21" spans="1:7" x14ac:dyDescent="0.2">
      <c r="A21" s="8">
        <v>46307</v>
      </c>
      <c r="B21" s="9">
        <v>0.58412037037037035</v>
      </c>
      <c r="C21" s="6">
        <v>11.445309999999999</v>
      </c>
      <c r="D21" s="4">
        <v>549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7BECE-A4F1-4F97-BC3C-92A2F1D533D7}">
  <sheetPr codeName="工作表13"/>
  <dimension ref="A1:I25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0.58496527777777774</v>
      </c>
      <c r="C2" s="6">
        <v>1.8125</v>
      </c>
      <c r="D2" s="4">
        <v>558</v>
      </c>
      <c r="E2" s="4" t="s">
        <v>24</v>
      </c>
      <c r="F2" s="4" t="s">
        <v>24</v>
      </c>
      <c r="G2" s="4" t="s">
        <v>24</v>
      </c>
      <c r="I2">
        <f>AVERAGE(D2:D21)</f>
        <v>550.79999999999995</v>
      </c>
    </row>
    <row r="3" spans="1:9" x14ac:dyDescent="0.2">
      <c r="A3" s="8">
        <v>46307</v>
      </c>
      <c r="B3" s="9">
        <v>0.58496527777777774</v>
      </c>
      <c r="C3" s="6">
        <v>2.28125</v>
      </c>
      <c r="D3" s="4">
        <v>556</v>
      </c>
      <c r="E3" s="4" t="s">
        <v>24</v>
      </c>
      <c r="F3" s="4" t="s">
        <v>24</v>
      </c>
      <c r="G3" s="4" t="s">
        <v>24</v>
      </c>
      <c r="I3">
        <f>91*(1023-I2)/I2</f>
        <v>78.01416122004359</v>
      </c>
    </row>
    <row r="4" spans="1:9" x14ac:dyDescent="0.2">
      <c r="A4" s="8">
        <v>46307</v>
      </c>
      <c r="B4" s="9">
        <v>0.58497685185185189</v>
      </c>
      <c r="C4" s="6">
        <v>2.78125</v>
      </c>
      <c r="D4" s="4">
        <v>554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0.58497685185185189</v>
      </c>
      <c r="C5" s="6">
        <v>3.3125</v>
      </c>
      <c r="D5" s="4">
        <v>556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46307</v>
      </c>
      <c r="B6" s="9">
        <v>0.58498842592592593</v>
      </c>
      <c r="C6" s="6">
        <v>3.8242189999999998</v>
      </c>
      <c r="D6" s="4">
        <v>555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0.58498842592592593</v>
      </c>
      <c r="C7" s="6">
        <v>4.3242190000000003</v>
      </c>
      <c r="D7" s="4">
        <v>551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0.58499999999999996</v>
      </c>
      <c r="C8" s="6">
        <v>4.8242190000000003</v>
      </c>
      <c r="D8" s="4">
        <v>553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0.58499999999999996</v>
      </c>
      <c r="C9" s="6">
        <v>5.3242190000000003</v>
      </c>
      <c r="D9" s="4">
        <v>551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0.58501157407407411</v>
      </c>
      <c r="C10" s="6">
        <v>5.8398440000000003</v>
      </c>
      <c r="D10" s="4">
        <v>552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46307</v>
      </c>
      <c r="B11" s="9">
        <v>0.58501157407407411</v>
      </c>
      <c r="C11" s="6">
        <v>6.3710940000000003</v>
      </c>
      <c r="D11" s="4">
        <v>550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0.58502314814814815</v>
      </c>
      <c r="C12" s="6">
        <v>6.8710940000000003</v>
      </c>
      <c r="D12" s="4">
        <v>551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0.58502314814814815</v>
      </c>
      <c r="C13" s="6">
        <v>7.3710940000000003</v>
      </c>
      <c r="D13" s="4">
        <v>551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0.58503472222222219</v>
      </c>
      <c r="C14" s="6">
        <v>7.8710940000000003</v>
      </c>
      <c r="D14" s="4">
        <v>545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0.58503472222222219</v>
      </c>
      <c r="C15" s="6">
        <v>8.3867189999999994</v>
      </c>
      <c r="D15" s="4">
        <v>547</v>
      </c>
      <c r="E15" s="4" t="s">
        <v>27</v>
      </c>
      <c r="F15" s="4" t="s">
        <v>27</v>
      </c>
      <c r="G15" s="4">
        <v>21</v>
      </c>
    </row>
    <row r="16" spans="1:9" x14ac:dyDescent="0.2">
      <c r="A16" s="8">
        <v>46307</v>
      </c>
      <c r="B16" s="9">
        <v>0.58504629629629634</v>
      </c>
      <c r="C16" s="6">
        <v>8.9179689999999994</v>
      </c>
      <c r="D16" s="4">
        <v>547</v>
      </c>
      <c r="E16" s="4" t="s">
        <v>27</v>
      </c>
      <c r="F16" s="4" t="s">
        <v>27</v>
      </c>
      <c r="G16" s="4">
        <v>4112</v>
      </c>
    </row>
    <row r="17" spans="1:8" x14ac:dyDescent="0.2">
      <c r="A17" s="8">
        <v>46307</v>
      </c>
      <c r="B17" s="9">
        <v>0.58504629629629634</v>
      </c>
      <c r="C17" s="6">
        <v>9.4335939999999994</v>
      </c>
      <c r="D17" s="4">
        <v>547</v>
      </c>
      <c r="E17" s="4" t="s">
        <v>27</v>
      </c>
      <c r="F17" s="4" t="s">
        <v>27</v>
      </c>
      <c r="G17" s="4">
        <v>4112</v>
      </c>
    </row>
    <row r="18" spans="1:8" x14ac:dyDescent="0.2">
      <c r="A18" s="8">
        <v>46307</v>
      </c>
      <c r="B18" s="9">
        <v>0.58505787037037038</v>
      </c>
      <c r="C18" s="6">
        <v>9.9726560000000006</v>
      </c>
      <c r="D18" s="4">
        <v>546</v>
      </c>
      <c r="E18" s="4" t="s">
        <v>25</v>
      </c>
      <c r="F18" s="10">
        <v>0.52</v>
      </c>
      <c r="G18" s="4" t="s">
        <v>26</v>
      </c>
    </row>
    <row r="19" spans="1:8" x14ac:dyDescent="0.2">
      <c r="A19" s="8">
        <v>46307</v>
      </c>
      <c r="B19" s="9">
        <v>0.58505787037037038</v>
      </c>
      <c r="C19" s="6">
        <v>10.48828</v>
      </c>
      <c r="D19" s="4">
        <v>545</v>
      </c>
      <c r="E19" s="4" t="s">
        <v>24</v>
      </c>
      <c r="F19" s="4" t="s">
        <v>24</v>
      </c>
      <c r="G19" s="4" t="s">
        <v>24</v>
      </c>
    </row>
    <row r="20" spans="1:8" x14ac:dyDescent="0.2">
      <c r="A20" s="8">
        <v>46307</v>
      </c>
      <c r="B20" s="9">
        <v>0.58506944444444442</v>
      </c>
      <c r="C20" s="6">
        <v>10.98828</v>
      </c>
      <c r="D20" s="4">
        <v>551</v>
      </c>
      <c r="E20" s="4" t="s">
        <v>24</v>
      </c>
      <c r="F20" s="4" t="s">
        <v>24</v>
      </c>
      <c r="G20" s="4" t="s">
        <v>24</v>
      </c>
    </row>
    <row r="21" spans="1:8" x14ac:dyDescent="0.2">
      <c r="A21" s="8">
        <v>46307</v>
      </c>
      <c r="B21" s="9">
        <v>0.58506944444444442</v>
      </c>
      <c r="C21" s="6">
        <v>11.5</v>
      </c>
      <c r="D21" s="4">
        <v>550</v>
      </c>
      <c r="E21" s="4" t="s">
        <v>24</v>
      </c>
      <c r="F21" s="4" t="s">
        <v>24</v>
      </c>
      <c r="G21" s="4" t="s">
        <v>24</v>
      </c>
      <c r="H21" s="17"/>
    </row>
    <row r="22" spans="1:8" x14ac:dyDescent="0.2">
      <c r="A22" s="8"/>
      <c r="B22" s="9"/>
    </row>
    <row r="23" spans="1:8" x14ac:dyDescent="0.2">
      <c r="A23" s="8"/>
      <c r="B23" s="9"/>
      <c r="F23" s="10"/>
    </row>
    <row r="24" spans="1:8" x14ac:dyDescent="0.2">
      <c r="A24" s="8"/>
      <c r="B24" s="9"/>
    </row>
    <row r="25" spans="1:8" x14ac:dyDescent="0.2">
      <c r="A25" s="8"/>
      <c r="B25" s="9"/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7EAE1-7532-4BA4-8B31-114A92D0F5E7}">
  <sheetPr codeName="工作表14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0.58567129629629633</v>
      </c>
      <c r="C2" s="6">
        <v>1.792969</v>
      </c>
      <c r="D2" s="4">
        <v>520</v>
      </c>
      <c r="E2" s="4" t="s">
        <v>24</v>
      </c>
      <c r="F2" s="4" t="s">
        <v>24</v>
      </c>
      <c r="G2" s="4" t="s">
        <v>24</v>
      </c>
      <c r="I2">
        <f>AVERAGE(D2:D21)</f>
        <v>507.35</v>
      </c>
    </row>
    <row r="3" spans="1:9" x14ac:dyDescent="0.2">
      <c r="A3" s="8">
        <v>46307</v>
      </c>
      <c r="B3" s="9">
        <v>0.58567129629629633</v>
      </c>
      <c r="C3" s="6">
        <v>2.28125</v>
      </c>
      <c r="D3" s="4">
        <v>508</v>
      </c>
      <c r="E3" s="4" t="s">
        <v>24</v>
      </c>
      <c r="F3" s="4" t="s">
        <v>24</v>
      </c>
      <c r="G3" s="4" t="s">
        <v>24</v>
      </c>
      <c r="I3">
        <f>91*(1023-I2)/I2</f>
        <v>92.488715876613782</v>
      </c>
    </row>
    <row r="4" spans="1:9" x14ac:dyDescent="0.2">
      <c r="A4" s="8">
        <v>46307</v>
      </c>
      <c r="B4" s="9">
        <v>0.58568287037037037</v>
      </c>
      <c r="C4" s="6">
        <v>2.78125</v>
      </c>
      <c r="D4" s="4">
        <v>511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0.58568287037037037</v>
      </c>
      <c r="C5" s="6">
        <v>3.2929689999999998</v>
      </c>
      <c r="D5" s="4">
        <v>511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46307</v>
      </c>
      <c r="B6" s="9">
        <v>0.58569444444444441</v>
      </c>
      <c r="C6" s="6">
        <v>3.8242189999999998</v>
      </c>
      <c r="D6" s="4">
        <v>506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0.58569444444444441</v>
      </c>
      <c r="C7" s="6">
        <v>4.3242190000000003</v>
      </c>
      <c r="D7" s="4">
        <v>513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0.58570601851851856</v>
      </c>
      <c r="C8" s="6">
        <v>4.8242190000000003</v>
      </c>
      <c r="D8" s="4">
        <v>505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0.58570601851851856</v>
      </c>
      <c r="C9" s="6">
        <v>5.3242190000000003</v>
      </c>
      <c r="D9" s="4">
        <v>509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0.5857175925925926</v>
      </c>
      <c r="C10" s="6">
        <v>6.34375</v>
      </c>
      <c r="D10" s="4">
        <v>508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46307</v>
      </c>
      <c r="B11" s="9">
        <v>0.58572916666666663</v>
      </c>
      <c r="C11" s="6">
        <v>6.859375</v>
      </c>
      <c r="D11" s="4">
        <v>506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46307</v>
      </c>
      <c r="B12" s="9">
        <v>0.58572916666666663</v>
      </c>
      <c r="C12" s="6">
        <v>7.40625</v>
      </c>
      <c r="D12" s="4">
        <v>503</v>
      </c>
      <c r="E12" s="4" t="s">
        <v>25</v>
      </c>
      <c r="F12" s="10">
        <v>0.53</v>
      </c>
      <c r="G12" s="4" t="s">
        <v>26</v>
      </c>
    </row>
    <row r="13" spans="1:9" x14ac:dyDescent="0.2">
      <c r="A13" s="8">
        <v>46307</v>
      </c>
      <c r="B13" s="9">
        <v>0.58574074074074078</v>
      </c>
      <c r="C13" s="6">
        <v>7.921875</v>
      </c>
      <c r="D13" s="4">
        <v>508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0.58574074074074078</v>
      </c>
      <c r="C14" s="6">
        <v>8.421875</v>
      </c>
      <c r="D14" s="4">
        <v>503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0.58575231481481482</v>
      </c>
      <c r="C15" s="6">
        <v>8.921875</v>
      </c>
      <c r="D15" s="4">
        <v>508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46307</v>
      </c>
      <c r="B16" s="9">
        <v>0.58575231481481482</v>
      </c>
      <c r="C16" s="6">
        <v>9.421875</v>
      </c>
      <c r="D16" s="4">
        <v>507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0.58576388888888886</v>
      </c>
      <c r="C17" s="6">
        <v>9.9375</v>
      </c>
      <c r="D17" s="4">
        <v>508</v>
      </c>
      <c r="E17" s="4" t="s">
        <v>25</v>
      </c>
      <c r="F17" s="10">
        <v>0.53</v>
      </c>
      <c r="G17" s="4" t="s">
        <v>26</v>
      </c>
    </row>
    <row r="18" spans="1:7" x14ac:dyDescent="0.2">
      <c r="A18" s="8">
        <v>46307</v>
      </c>
      <c r="B18" s="9">
        <v>0.58577546296296301</v>
      </c>
      <c r="C18" s="6">
        <v>10.46875</v>
      </c>
      <c r="D18" s="4">
        <v>502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0.58577546296296301</v>
      </c>
      <c r="C19" s="6">
        <v>10.96875</v>
      </c>
      <c r="D19" s="4">
        <v>503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0.58578703703703705</v>
      </c>
      <c r="C20" s="6">
        <v>11.46875</v>
      </c>
      <c r="D20" s="4">
        <v>506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46307</v>
      </c>
      <c r="B21" s="9">
        <v>0.58578703703703705</v>
      </c>
      <c r="C21" s="6">
        <v>11.96875</v>
      </c>
      <c r="D21" s="4">
        <v>502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D7D81-C4A7-4F4D-B167-4ADFAA375A6F}">
  <sheetPr codeName="工作表15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0.58805555555555555</v>
      </c>
      <c r="C2" s="6">
        <v>2.21875</v>
      </c>
      <c r="D2" s="4">
        <v>802</v>
      </c>
      <c r="E2" s="4" t="s">
        <v>24</v>
      </c>
      <c r="F2" s="4" t="s">
        <v>24</v>
      </c>
      <c r="G2" s="4" t="s">
        <v>24</v>
      </c>
      <c r="I2">
        <f>AVERAGE(D2:D21)</f>
        <v>802.05</v>
      </c>
    </row>
    <row r="3" spans="1:9" x14ac:dyDescent="0.2">
      <c r="A3" s="8">
        <v>46307</v>
      </c>
      <c r="B3" s="9">
        <v>0.58805555555555555</v>
      </c>
      <c r="C3" s="6">
        <v>2.28125</v>
      </c>
      <c r="D3" s="4">
        <v>801</v>
      </c>
      <c r="E3" s="4" t="s">
        <v>24</v>
      </c>
      <c r="F3" s="4" t="s">
        <v>24</v>
      </c>
      <c r="G3" s="4" t="s">
        <v>24</v>
      </c>
      <c r="I3">
        <f>91*(1023-I2)/I2</f>
        <v>25.068823639423982</v>
      </c>
    </row>
    <row r="4" spans="1:9" x14ac:dyDescent="0.2">
      <c r="A4" s="8">
        <v>46307</v>
      </c>
      <c r="B4" s="9">
        <v>0.58805555555555555</v>
      </c>
      <c r="C4" s="6">
        <v>2.78125</v>
      </c>
      <c r="D4" s="4">
        <v>803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0.58806712962962959</v>
      </c>
      <c r="C5" s="6">
        <v>3.296875</v>
      </c>
      <c r="D5" s="4">
        <v>803</v>
      </c>
      <c r="E5" s="4" t="s">
        <v>25</v>
      </c>
      <c r="F5" s="10">
        <v>0.54</v>
      </c>
      <c r="G5" s="4" t="s">
        <v>26</v>
      </c>
    </row>
    <row r="6" spans="1:9" x14ac:dyDescent="0.2">
      <c r="A6" s="8">
        <v>46307</v>
      </c>
      <c r="B6" s="9">
        <v>0.58806712962962959</v>
      </c>
      <c r="C6" s="6">
        <v>3.828125</v>
      </c>
      <c r="D6" s="4">
        <v>802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0.58807870370370374</v>
      </c>
      <c r="C7" s="6">
        <v>4.328125</v>
      </c>
      <c r="D7" s="4">
        <v>801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0.58807870370370374</v>
      </c>
      <c r="C8" s="6">
        <v>4.828125</v>
      </c>
      <c r="D8" s="4">
        <v>802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0.58809027777777778</v>
      </c>
      <c r="C9" s="6">
        <v>5.328125</v>
      </c>
      <c r="D9" s="4">
        <v>802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0.58810185185185182</v>
      </c>
      <c r="C10" s="6">
        <v>6.34375</v>
      </c>
      <c r="D10" s="4">
        <v>802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46307</v>
      </c>
      <c r="B11" s="9">
        <v>0.58810185185185182</v>
      </c>
      <c r="C11" s="6">
        <v>6.875</v>
      </c>
      <c r="D11" s="4">
        <v>801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46307</v>
      </c>
      <c r="B12" s="9">
        <v>0.58811342592592597</v>
      </c>
      <c r="C12" s="6">
        <v>7.40625</v>
      </c>
      <c r="D12" s="4">
        <v>800</v>
      </c>
      <c r="E12" s="4" t="s">
        <v>27</v>
      </c>
      <c r="F12" s="4" t="s">
        <v>27</v>
      </c>
      <c r="G12" s="4">
        <v>21</v>
      </c>
    </row>
    <row r="13" spans="1:9" x14ac:dyDescent="0.2">
      <c r="A13" s="8">
        <v>46307</v>
      </c>
      <c r="B13" s="9">
        <v>0.58811342592592597</v>
      </c>
      <c r="C13" s="6">
        <v>7.9335940000000003</v>
      </c>
      <c r="D13" s="4">
        <v>801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46307</v>
      </c>
      <c r="B14" s="9">
        <v>0.58812500000000001</v>
      </c>
      <c r="C14" s="6">
        <v>8.453125</v>
      </c>
      <c r="D14" s="4">
        <v>803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46307</v>
      </c>
      <c r="B15" s="9">
        <v>0.58812500000000001</v>
      </c>
      <c r="C15" s="6">
        <v>8.984375</v>
      </c>
      <c r="D15" s="4">
        <v>803</v>
      </c>
      <c r="E15" s="4" t="s">
        <v>25</v>
      </c>
      <c r="F15" s="10">
        <v>0.54</v>
      </c>
      <c r="G15" s="4" t="s">
        <v>26</v>
      </c>
    </row>
    <row r="16" spans="1:9" x14ac:dyDescent="0.2">
      <c r="A16" s="8">
        <v>46307</v>
      </c>
      <c r="B16" s="9">
        <v>0.58813657407407405</v>
      </c>
      <c r="C16" s="6">
        <v>9.5117189999999994</v>
      </c>
      <c r="D16" s="4">
        <v>802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0.58813657407407405</v>
      </c>
      <c r="C17" s="6">
        <v>10.01172</v>
      </c>
      <c r="D17" s="4">
        <v>803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0.5881481481481482</v>
      </c>
      <c r="C18" s="6">
        <v>10.51172</v>
      </c>
      <c r="D18" s="4">
        <v>802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0.5881481481481482</v>
      </c>
      <c r="C19" s="6">
        <v>11.01172</v>
      </c>
      <c r="D19" s="4">
        <v>802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0.58815972222222224</v>
      </c>
      <c r="C20" s="6">
        <v>11.527340000000001</v>
      </c>
      <c r="D20" s="4">
        <v>804</v>
      </c>
      <c r="E20" s="4" t="s">
        <v>25</v>
      </c>
      <c r="F20" s="10">
        <v>0.54</v>
      </c>
      <c r="G20" s="4" t="s">
        <v>26</v>
      </c>
    </row>
    <row r="21" spans="1:7" x14ac:dyDescent="0.2">
      <c r="A21" s="8">
        <v>46307</v>
      </c>
      <c r="B21" s="9">
        <v>0.58817129629629628</v>
      </c>
      <c r="C21" s="6">
        <v>12.04297</v>
      </c>
      <c r="D21" s="4">
        <v>802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E3EFE-1C30-4826-AB04-413A4BE72799}">
  <sheetPr codeName="工作表16"/>
  <dimension ref="A1:I22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0.58940972222222221</v>
      </c>
      <c r="C2" s="6">
        <v>2.2148439999999998</v>
      </c>
      <c r="D2" s="4">
        <v>814</v>
      </c>
      <c r="E2" s="4" t="s">
        <v>24</v>
      </c>
      <c r="F2" s="4" t="s">
        <v>24</v>
      </c>
      <c r="G2" s="4" t="s">
        <v>24</v>
      </c>
      <c r="I2">
        <f>AVERAGE(D2:D21)</f>
        <v>802.55</v>
      </c>
    </row>
    <row r="3" spans="1:9" x14ac:dyDescent="0.2">
      <c r="A3" s="8">
        <v>46307</v>
      </c>
      <c r="B3" s="9">
        <v>0.58940972222222221</v>
      </c>
      <c r="C3" s="6">
        <v>2.28125</v>
      </c>
      <c r="D3" s="4">
        <v>813</v>
      </c>
      <c r="E3" s="4" t="s">
        <v>24</v>
      </c>
      <c r="F3" s="4" t="s">
        <v>24</v>
      </c>
      <c r="G3" s="4" t="s">
        <v>24</v>
      </c>
      <c r="I3">
        <f>91*(1023-I2)/I2</f>
        <v>24.996511120802449</v>
      </c>
    </row>
    <row r="4" spans="1:9" x14ac:dyDescent="0.2">
      <c r="A4" s="8">
        <v>46307</v>
      </c>
      <c r="B4" s="9">
        <v>0.58940972222222221</v>
      </c>
      <c r="C4" s="6">
        <v>2.7890630000000001</v>
      </c>
      <c r="D4" s="4">
        <v>805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0.58942129629629625</v>
      </c>
      <c r="C5" s="6">
        <v>3.3046880000000001</v>
      </c>
      <c r="D5" s="4">
        <v>806</v>
      </c>
      <c r="E5" s="4" t="s">
        <v>25</v>
      </c>
      <c r="F5" s="10">
        <v>0.54</v>
      </c>
      <c r="G5" s="4" t="s">
        <v>26</v>
      </c>
    </row>
    <row r="6" spans="1:9" x14ac:dyDescent="0.2">
      <c r="A6" s="8">
        <v>46307</v>
      </c>
      <c r="B6" s="9">
        <v>0.58942129629629625</v>
      </c>
      <c r="C6" s="6">
        <v>3.8203130000000001</v>
      </c>
      <c r="D6" s="4">
        <v>804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0.5894328703703704</v>
      </c>
      <c r="C7" s="6">
        <v>4.3203129999999996</v>
      </c>
      <c r="D7" s="4">
        <v>805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0.5894328703703704</v>
      </c>
      <c r="C8" s="6">
        <v>4.8203129999999996</v>
      </c>
      <c r="D8" s="4">
        <v>804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0.58944444444444444</v>
      </c>
      <c r="C9" s="6">
        <v>5.3203129999999996</v>
      </c>
      <c r="D9" s="4">
        <v>801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0.58944444444444444</v>
      </c>
      <c r="C10" s="6">
        <v>5.8476559999999997</v>
      </c>
      <c r="D10" s="4">
        <v>802</v>
      </c>
      <c r="E10" s="4" t="s">
        <v>25</v>
      </c>
      <c r="F10" s="10">
        <v>0.55000000000000004</v>
      </c>
      <c r="G10" s="4" t="s">
        <v>26</v>
      </c>
    </row>
    <row r="11" spans="1:9" x14ac:dyDescent="0.2">
      <c r="A11" s="8">
        <v>46307</v>
      </c>
      <c r="B11" s="9">
        <v>0.58945601851851848</v>
      </c>
      <c r="C11" s="6">
        <v>6.3671879999999996</v>
      </c>
      <c r="D11" s="4">
        <v>800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0.58945601851851848</v>
      </c>
      <c r="C12" s="6">
        <v>6.8632809999999997</v>
      </c>
      <c r="D12" s="4">
        <v>802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0.58946759259259263</v>
      </c>
      <c r="C13" s="6">
        <v>7.3632809999999997</v>
      </c>
      <c r="D13" s="4">
        <v>800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0.58946759259259263</v>
      </c>
      <c r="C14" s="6">
        <v>7.8632809999999997</v>
      </c>
      <c r="D14" s="4">
        <v>801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0.58947916666666667</v>
      </c>
      <c r="C15" s="6">
        <v>8.8789060000000006</v>
      </c>
      <c r="D15" s="4">
        <v>800</v>
      </c>
      <c r="E15" s="4" t="s">
        <v>27</v>
      </c>
      <c r="F15" s="4" t="s">
        <v>27</v>
      </c>
      <c r="G15" s="4">
        <v>-237</v>
      </c>
    </row>
    <row r="16" spans="1:9" x14ac:dyDescent="0.2">
      <c r="A16" s="8">
        <v>46307</v>
      </c>
      <c r="B16" s="9">
        <v>0.5894907407407407</v>
      </c>
      <c r="C16" s="6">
        <v>9.4101560000000006</v>
      </c>
      <c r="D16" s="4">
        <v>799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46307</v>
      </c>
      <c r="B17" s="9">
        <v>0.58950231481481485</v>
      </c>
      <c r="C17" s="6">
        <v>10.445309999999999</v>
      </c>
      <c r="D17" s="4">
        <v>801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46307</v>
      </c>
      <c r="B18" s="9">
        <v>0.58950231481481485</v>
      </c>
      <c r="C18" s="6">
        <v>10.976559999999999</v>
      </c>
      <c r="D18" s="4">
        <v>800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46307</v>
      </c>
      <c r="B19" s="9">
        <v>0.58951388888888889</v>
      </c>
      <c r="C19" s="6">
        <v>12.007809999999999</v>
      </c>
      <c r="D19" s="4">
        <v>797</v>
      </c>
      <c r="E19" s="4" t="s">
        <v>27</v>
      </c>
      <c r="F19" s="4" t="s">
        <v>27</v>
      </c>
      <c r="G19" s="4">
        <v>-237</v>
      </c>
    </row>
    <row r="20" spans="1:7" x14ac:dyDescent="0.2">
      <c r="A20" s="8">
        <v>46307</v>
      </c>
      <c r="B20" s="9">
        <v>0.58952546296296293</v>
      </c>
      <c r="C20" s="6">
        <v>12.539059999999999</v>
      </c>
      <c r="D20" s="4">
        <v>797</v>
      </c>
      <c r="E20" s="4" t="s">
        <v>27</v>
      </c>
      <c r="F20" s="4" t="s">
        <v>27</v>
      </c>
      <c r="G20" s="4">
        <v>3088</v>
      </c>
    </row>
    <row r="21" spans="1:7" x14ac:dyDescent="0.2">
      <c r="A21" s="8">
        <v>46307</v>
      </c>
      <c r="B21" s="9">
        <v>0.58953703703703708</v>
      </c>
      <c r="C21" s="6">
        <v>13.570309999999999</v>
      </c>
      <c r="D21" s="4">
        <v>800</v>
      </c>
      <c r="E21" s="4" t="s">
        <v>27</v>
      </c>
      <c r="F21" s="4" t="s">
        <v>27</v>
      </c>
      <c r="G21" s="4">
        <v>-237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9F5F8-2676-4AF9-BE6D-5A0EFD669243}">
  <sheetPr codeName="工作表17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0.59053240740740742</v>
      </c>
      <c r="C2" s="6">
        <v>1.8125</v>
      </c>
      <c r="D2" s="4">
        <v>791</v>
      </c>
      <c r="E2" s="4" t="s">
        <v>24</v>
      </c>
      <c r="F2" s="4" t="s">
        <v>24</v>
      </c>
      <c r="G2" s="4" t="s">
        <v>24</v>
      </c>
      <c r="I2">
        <f>AVERAGE(D2:D21)</f>
        <v>789.55</v>
      </c>
    </row>
    <row r="3" spans="1:9" x14ac:dyDescent="0.2">
      <c r="A3" s="8">
        <v>46307</v>
      </c>
      <c r="B3" s="9">
        <v>0.59053240740740742</v>
      </c>
      <c r="C3" s="6">
        <v>2.28125</v>
      </c>
      <c r="D3" s="4">
        <v>790</v>
      </c>
      <c r="E3" s="4" t="s">
        <v>24</v>
      </c>
      <c r="F3" s="4" t="s">
        <v>24</v>
      </c>
      <c r="G3" s="4" t="s">
        <v>24</v>
      </c>
      <c r="I3">
        <f>91*(1023-I2)/I2</f>
        <v>26.906402381103167</v>
      </c>
    </row>
    <row r="4" spans="1:9" x14ac:dyDescent="0.2">
      <c r="A4" s="8">
        <v>46307</v>
      </c>
      <c r="B4" s="9">
        <v>0.59054398148148146</v>
      </c>
      <c r="C4" s="6">
        <v>2.78125</v>
      </c>
      <c r="D4" s="4">
        <v>791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0.59054398148148146</v>
      </c>
      <c r="C5" s="6">
        <v>3.3125</v>
      </c>
      <c r="D5" s="4">
        <v>791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46307</v>
      </c>
      <c r="B6" s="9">
        <v>0.5905555555555555</v>
      </c>
      <c r="C6" s="6">
        <v>3.828125</v>
      </c>
      <c r="D6" s="4">
        <v>789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0.5905555555555555</v>
      </c>
      <c r="C7" s="6">
        <v>4.328125</v>
      </c>
      <c r="D7" s="4">
        <v>789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0.59056712962962965</v>
      </c>
      <c r="C8" s="6">
        <v>4.828125</v>
      </c>
      <c r="D8" s="4">
        <v>790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0.59056712962962965</v>
      </c>
      <c r="C9" s="6">
        <v>5.328125</v>
      </c>
      <c r="D9" s="4">
        <v>791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0.59057870370370369</v>
      </c>
      <c r="C10" s="6">
        <v>5.84375</v>
      </c>
      <c r="D10" s="4">
        <v>790</v>
      </c>
      <c r="E10" s="4" t="s">
        <v>25</v>
      </c>
      <c r="F10" s="10">
        <v>0.53</v>
      </c>
      <c r="G10" s="4" t="s">
        <v>26</v>
      </c>
    </row>
    <row r="11" spans="1:9" x14ac:dyDescent="0.2">
      <c r="A11" s="8">
        <v>46307</v>
      </c>
      <c r="B11" s="9">
        <v>0.59057870370370369</v>
      </c>
      <c r="C11" s="6">
        <v>6.375</v>
      </c>
      <c r="D11" s="4">
        <v>789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0.59059027777777773</v>
      </c>
      <c r="C12" s="6">
        <v>6.875</v>
      </c>
      <c r="D12" s="4">
        <v>790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0.59059027777777773</v>
      </c>
      <c r="C13" s="6">
        <v>7.375</v>
      </c>
      <c r="D13" s="4">
        <v>789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0.59060185185185188</v>
      </c>
      <c r="C14" s="6">
        <v>7.875</v>
      </c>
      <c r="D14" s="4">
        <v>789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0.59060185185185188</v>
      </c>
      <c r="C15" s="6">
        <v>8.390625</v>
      </c>
      <c r="D15" s="4">
        <v>788</v>
      </c>
      <c r="E15" s="4" t="s">
        <v>25</v>
      </c>
      <c r="F15" s="10">
        <v>0.53</v>
      </c>
      <c r="G15" s="4" t="s">
        <v>26</v>
      </c>
    </row>
    <row r="16" spans="1:9" x14ac:dyDescent="0.2">
      <c r="A16" s="8">
        <v>46307</v>
      </c>
      <c r="B16" s="9">
        <v>0.59061342592592592</v>
      </c>
      <c r="C16" s="6">
        <v>8.921875</v>
      </c>
      <c r="D16" s="4">
        <v>789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0.59061342592592592</v>
      </c>
      <c r="C17" s="6">
        <v>9.421875</v>
      </c>
      <c r="D17" s="4">
        <v>788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0.59062499999999996</v>
      </c>
      <c r="C18" s="6">
        <v>9.921875</v>
      </c>
      <c r="D18" s="4">
        <v>788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0.59062499999999996</v>
      </c>
      <c r="C19" s="6">
        <v>10.42188</v>
      </c>
      <c r="D19" s="4">
        <v>789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0.59063657407407411</v>
      </c>
      <c r="C20" s="6">
        <v>10.933590000000001</v>
      </c>
      <c r="D20" s="4">
        <v>790</v>
      </c>
      <c r="E20" s="4" t="s">
        <v>25</v>
      </c>
      <c r="F20" s="10">
        <v>0.53</v>
      </c>
      <c r="G20" s="4" t="s">
        <v>26</v>
      </c>
    </row>
    <row r="21" spans="1:7" x14ac:dyDescent="0.2">
      <c r="A21" s="8">
        <v>46307</v>
      </c>
      <c r="B21" s="9">
        <v>0.59063657407407411</v>
      </c>
      <c r="C21" s="6">
        <v>11.45313</v>
      </c>
      <c r="D21" s="4">
        <v>790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79A0-14BC-4E65-8F65-35F9AA843C8E}">
  <sheetPr codeName="工作表18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0.59232638888888889</v>
      </c>
      <c r="C2" s="6">
        <v>1.808594</v>
      </c>
      <c r="D2" s="4">
        <v>791</v>
      </c>
      <c r="E2" s="4" t="s">
        <v>24</v>
      </c>
      <c r="F2" s="4" t="s">
        <v>24</v>
      </c>
      <c r="G2" s="4" t="s">
        <v>24</v>
      </c>
      <c r="I2">
        <f>AVERAGE(D2:D21)</f>
        <v>791.55</v>
      </c>
    </row>
    <row r="3" spans="1:9" x14ac:dyDescent="0.2">
      <c r="A3" s="8">
        <v>46307</v>
      </c>
      <c r="B3" s="9">
        <v>0.59233796296296293</v>
      </c>
      <c r="C3" s="6">
        <v>2.2929689999999998</v>
      </c>
      <c r="D3" s="4">
        <v>790</v>
      </c>
      <c r="E3" s="4" t="s">
        <v>24</v>
      </c>
      <c r="F3" s="4" t="s">
        <v>24</v>
      </c>
      <c r="G3" s="4" t="s">
        <v>24</v>
      </c>
      <c r="I3">
        <f>91*(1023-I2)/I2</f>
        <v>26.608489672162221</v>
      </c>
    </row>
    <row r="4" spans="1:9" x14ac:dyDescent="0.2">
      <c r="A4" s="8">
        <v>46307</v>
      </c>
      <c r="B4" s="9">
        <v>0.59233796296296293</v>
      </c>
      <c r="C4" s="6">
        <v>2.7929689999999998</v>
      </c>
      <c r="D4" s="4">
        <v>792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0.59234953703703708</v>
      </c>
      <c r="C5" s="6">
        <v>3.3085939999999998</v>
      </c>
      <c r="D5" s="4">
        <v>793</v>
      </c>
      <c r="E5" s="4" t="s">
        <v>25</v>
      </c>
      <c r="F5" s="10">
        <v>0.53</v>
      </c>
      <c r="G5" s="4" t="s">
        <v>26</v>
      </c>
    </row>
    <row r="6" spans="1:9" x14ac:dyDescent="0.2">
      <c r="A6" s="8">
        <v>46307</v>
      </c>
      <c r="B6" s="9">
        <v>0.59234953703703708</v>
      </c>
      <c r="C6" s="6">
        <v>3.8242189999999998</v>
      </c>
      <c r="D6" s="4">
        <v>791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0.59236111111111112</v>
      </c>
      <c r="C7" s="6">
        <v>4.3398440000000003</v>
      </c>
      <c r="D7" s="4">
        <v>791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0.59236111111111112</v>
      </c>
      <c r="C8" s="6">
        <v>4.8398440000000003</v>
      </c>
      <c r="D8" s="4">
        <v>791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0.59237268518518515</v>
      </c>
      <c r="C9" s="6">
        <v>5.3398440000000003</v>
      </c>
      <c r="D9" s="4">
        <v>792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0.59237268518518515</v>
      </c>
      <c r="C10" s="6">
        <v>5.8554690000000003</v>
      </c>
      <c r="D10" s="4">
        <v>792</v>
      </c>
      <c r="E10" s="4" t="s">
        <v>25</v>
      </c>
      <c r="F10" s="10">
        <v>0.52</v>
      </c>
      <c r="G10" s="4" t="s">
        <v>26</v>
      </c>
    </row>
    <row r="11" spans="1:9" x14ac:dyDescent="0.2">
      <c r="A11" s="8">
        <v>46307</v>
      </c>
      <c r="B11" s="9">
        <v>0.5923842592592593</v>
      </c>
      <c r="C11" s="6">
        <v>6.3710940000000003</v>
      </c>
      <c r="D11" s="4">
        <v>791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0.5923842592592593</v>
      </c>
      <c r="C12" s="6">
        <v>6.8710940000000003</v>
      </c>
      <c r="D12" s="4">
        <v>790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0.59239583333333334</v>
      </c>
      <c r="C13" s="6">
        <v>7.3710940000000003</v>
      </c>
      <c r="D13" s="4">
        <v>792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0.59239583333333334</v>
      </c>
      <c r="C14" s="6">
        <v>7.8710940000000003</v>
      </c>
      <c r="D14" s="4">
        <v>790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0.59240740740740738</v>
      </c>
      <c r="C15" s="6">
        <v>8.4023439999999994</v>
      </c>
      <c r="D15" s="4">
        <v>792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46307</v>
      </c>
      <c r="B16" s="9">
        <v>0.59240740740740738</v>
      </c>
      <c r="C16" s="6">
        <v>8.9179689999999994</v>
      </c>
      <c r="D16" s="4">
        <v>791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0.59241898148148153</v>
      </c>
      <c r="C17" s="6">
        <v>9.4179689999999994</v>
      </c>
      <c r="D17" s="4">
        <v>792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0.59241898148148153</v>
      </c>
      <c r="C18" s="6">
        <v>9.9179689999999994</v>
      </c>
      <c r="D18" s="4">
        <v>793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0.59243055555555557</v>
      </c>
      <c r="C19" s="6">
        <v>10.41797</v>
      </c>
      <c r="D19" s="4">
        <v>793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0.59243055555555557</v>
      </c>
      <c r="C20" s="6">
        <v>10.933590000000001</v>
      </c>
      <c r="D20" s="4">
        <v>792</v>
      </c>
      <c r="E20" s="4" t="s">
        <v>25</v>
      </c>
      <c r="F20" s="10">
        <v>0.52</v>
      </c>
      <c r="G20" s="4" t="s">
        <v>26</v>
      </c>
    </row>
    <row r="21" spans="1:7" x14ac:dyDescent="0.2">
      <c r="A21" s="8">
        <v>46307</v>
      </c>
      <c r="B21" s="9">
        <v>0.59244212962962961</v>
      </c>
      <c r="C21" s="6">
        <v>11.464840000000001</v>
      </c>
      <c r="D21" s="4">
        <v>792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C2F24-82E4-4F73-84AE-E1B8E56E4DEC}">
  <sheetPr codeName="工作表19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46307</v>
      </c>
      <c r="B2" s="9">
        <v>0.59556712962962965</v>
      </c>
      <c r="C2" s="6">
        <v>1.8046880000000001</v>
      </c>
      <c r="D2" s="4">
        <v>802</v>
      </c>
      <c r="E2" s="4" t="s">
        <v>24</v>
      </c>
      <c r="F2" s="4" t="s">
        <v>24</v>
      </c>
      <c r="G2" s="4" t="s">
        <v>24</v>
      </c>
      <c r="I2">
        <f>AVERAGE(D2:D21)</f>
        <v>799.3</v>
      </c>
    </row>
    <row r="3" spans="1:9" x14ac:dyDescent="0.2">
      <c r="A3" s="8">
        <v>46307</v>
      </c>
      <c r="B3" s="9">
        <v>0.59557870370370369</v>
      </c>
      <c r="C3" s="6">
        <v>2.2890630000000001</v>
      </c>
      <c r="D3" s="4">
        <v>802</v>
      </c>
      <c r="E3" s="4" t="s">
        <v>24</v>
      </c>
      <c r="F3" s="4" t="s">
        <v>24</v>
      </c>
      <c r="G3" s="4" t="s">
        <v>24</v>
      </c>
      <c r="I3">
        <f>91*(1023-I2)/I2</f>
        <v>25.468159639684732</v>
      </c>
    </row>
    <row r="4" spans="1:9" x14ac:dyDescent="0.2">
      <c r="A4" s="8">
        <v>46307</v>
      </c>
      <c r="B4" s="9">
        <v>0.59557870370370369</v>
      </c>
      <c r="C4" s="6">
        <v>2.7890630000000001</v>
      </c>
      <c r="D4" s="4">
        <v>800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46307</v>
      </c>
      <c r="B5" s="9">
        <v>0.59559027777777773</v>
      </c>
      <c r="C5" s="6">
        <v>3.3046880000000001</v>
      </c>
      <c r="D5" s="4">
        <v>800</v>
      </c>
      <c r="E5" s="4" t="s">
        <v>25</v>
      </c>
      <c r="F5" s="10">
        <v>0.51</v>
      </c>
      <c r="G5" s="4" t="s">
        <v>26</v>
      </c>
    </row>
    <row r="6" spans="1:9" x14ac:dyDescent="0.2">
      <c r="A6" s="8">
        <v>46307</v>
      </c>
      <c r="B6" s="9">
        <v>0.59559027777777773</v>
      </c>
      <c r="C6" s="6">
        <v>3.8164060000000002</v>
      </c>
      <c r="D6" s="4">
        <v>801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46307</v>
      </c>
      <c r="B7" s="9">
        <v>0.59560185185185188</v>
      </c>
      <c r="C7" s="6">
        <v>4.3359379999999996</v>
      </c>
      <c r="D7" s="4">
        <v>799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46307</v>
      </c>
      <c r="B8" s="9">
        <v>0.59561342592592592</v>
      </c>
      <c r="C8" s="6">
        <v>4.8359379999999996</v>
      </c>
      <c r="D8" s="4">
        <v>800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46307</v>
      </c>
      <c r="B9" s="9">
        <v>0.59561342592592592</v>
      </c>
      <c r="C9" s="6">
        <v>5.3320309999999997</v>
      </c>
      <c r="D9" s="4">
        <v>799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46307</v>
      </c>
      <c r="B10" s="9">
        <v>0.59562499999999996</v>
      </c>
      <c r="C10" s="6">
        <v>5.8476559999999997</v>
      </c>
      <c r="D10" s="4">
        <v>799</v>
      </c>
      <c r="E10" s="4" t="s">
        <v>25</v>
      </c>
      <c r="F10" s="10">
        <v>0.51</v>
      </c>
      <c r="G10" s="4" t="s">
        <v>26</v>
      </c>
    </row>
    <row r="11" spans="1:9" x14ac:dyDescent="0.2">
      <c r="A11" s="8">
        <v>46307</v>
      </c>
      <c r="B11" s="9">
        <v>0.59562499999999996</v>
      </c>
      <c r="C11" s="6">
        <v>6.3632809999999997</v>
      </c>
      <c r="D11" s="4">
        <v>798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46307</v>
      </c>
      <c r="B12" s="9">
        <v>0.59563657407407411</v>
      </c>
      <c r="C12" s="6">
        <v>6.8789059999999997</v>
      </c>
      <c r="D12" s="4">
        <v>800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46307</v>
      </c>
      <c r="B13" s="9">
        <v>0.59563657407407411</v>
      </c>
      <c r="C13" s="6">
        <v>7.3789059999999997</v>
      </c>
      <c r="D13" s="4">
        <v>798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46307</v>
      </c>
      <c r="B14" s="9">
        <v>0.59564814814814815</v>
      </c>
      <c r="C14" s="6">
        <v>7.8789059999999997</v>
      </c>
      <c r="D14" s="4">
        <v>799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46307</v>
      </c>
      <c r="B15" s="9">
        <v>0.59564814814814815</v>
      </c>
      <c r="C15" s="6">
        <v>8.3945310000000006</v>
      </c>
      <c r="D15" s="4">
        <v>797</v>
      </c>
      <c r="E15" s="4" t="s">
        <v>25</v>
      </c>
      <c r="F15" s="10">
        <v>0.51</v>
      </c>
      <c r="G15" s="4" t="s">
        <v>26</v>
      </c>
    </row>
    <row r="16" spans="1:9" x14ac:dyDescent="0.2">
      <c r="A16" s="8">
        <v>46307</v>
      </c>
      <c r="B16" s="9">
        <v>0.59565972222222219</v>
      </c>
      <c r="C16" s="6">
        <v>8.9101560000000006</v>
      </c>
      <c r="D16" s="4">
        <v>800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0.59565972222222219</v>
      </c>
      <c r="C17" s="6">
        <v>9.4101560000000006</v>
      </c>
      <c r="D17" s="4">
        <v>799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0.59567129629629634</v>
      </c>
      <c r="C18" s="6">
        <v>9.9101560000000006</v>
      </c>
      <c r="D18" s="4">
        <v>798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0.59567129629629634</v>
      </c>
      <c r="C19" s="6">
        <v>10.410159999999999</v>
      </c>
      <c r="D19" s="4">
        <v>798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0.59568287037037038</v>
      </c>
      <c r="C20" s="6">
        <v>11.42578</v>
      </c>
      <c r="D20" s="4">
        <v>798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46307</v>
      </c>
      <c r="B21" s="9">
        <v>0.59569444444444442</v>
      </c>
      <c r="C21" s="6">
        <v>11.95703</v>
      </c>
      <c r="D21" s="4">
        <v>799</v>
      </c>
      <c r="E21" s="4" t="s">
        <v>27</v>
      </c>
      <c r="F21" s="4" t="s">
        <v>27</v>
      </c>
      <c r="G21" s="4">
        <v>3088</v>
      </c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4639-6004-435F-9108-C96F534B54A9}">
  <sheetPr codeName="工作表20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46307</v>
      </c>
      <c r="B2" s="9">
        <v>0.59434027777777776</v>
      </c>
      <c r="C2" s="6">
        <v>1.8046880000000001</v>
      </c>
      <c r="D2" s="4">
        <v>794</v>
      </c>
      <c r="E2" s="4" t="s">
        <v>35</v>
      </c>
      <c r="F2" s="4" t="s">
        <v>35</v>
      </c>
      <c r="G2" s="4" t="s">
        <v>35</v>
      </c>
      <c r="I2">
        <f>AVERAGE(D2:D21)</f>
        <v>793.35</v>
      </c>
    </row>
    <row r="3" spans="1:9" x14ac:dyDescent="0.2">
      <c r="A3" s="8">
        <v>46307</v>
      </c>
      <c r="B3" s="9">
        <v>0.5943518518518518</v>
      </c>
      <c r="C3" s="6">
        <v>2.2890630000000001</v>
      </c>
      <c r="D3" s="4">
        <v>793</v>
      </c>
      <c r="E3" s="4" t="s">
        <v>35</v>
      </c>
      <c r="F3" s="4" t="s">
        <v>35</v>
      </c>
      <c r="G3" s="4" t="s">
        <v>35</v>
      </c>
      <c r="I3">
        <f>91*(1023-I2)/I2</f>
        <v>26.3416524862923</v>
      </c>
    </row>
    <row r="4" spans="1:9" x14ac:dyDescent="0.2">
      <c r="A4" s="8">
        <v>46307</v>
      </c>
      <c r="B4" s="9">
        <v>0.5943518518518518</v>
      </c>
      <c r="C4" s="6">
        <v>2.7890630000000001</v>
      </c>
      <c r="D4" s="4">
        <v>793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46307</v>
      </c>
      <c r="B5" s="9">
        <v>0.59436342592592595</v>
      </c>
      <c r="C5" s="6">
        <v>3.3046880000000001</v>
      </c>
      <c r="D5" s="4">
        <v>794</v>
      </c>
      <c r="E5" s="4" t="s">
        <v>36</v>
      </c>
      <c r="F5" s="10">
        <v>0.52</v>
      </c>
      <c r="G5" s="4" t="s">
        <v>37</v>
      </c>
    </row>
    <row r="6" spans="1:9" x14ac:dyDescent="0.2">
      <c r="A6" s="8">
        <v>46307</v>
      </c>
      <c r="B6" s="9">
        <v>0.59436342592592595</v>
      </c>
      <c r="C6" s="6">
        <v>3.8203130000000001</v>
      </c>
      <c r="D6" s="4">
        <v>792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46307</v>
      </c>
      <c r="B7" s="9">
        <v>0.59437499999999999</v>
      </c>
      <c r="C7" s="6">
        <v>4.3203129999999996</v>
      </c>
      <c r="D7" s="4">
        <v>792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46307</v>
      </c>
      <c r="B8" s="9">
        <v>0.59437499999999999</v>
      </c>
      <c r="C8" s="6">
        <v>4.8203129999999996</v>
      </c>
      <c r="D8" s="4">
        <v>792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46307</v>
      </c>
      <c r="B9" s="9">
        <v>0.59438657407407403</v>
      </c>
      <c r="C9" s="6">
        <v>5.3203129999999996</v>
      </c>
      <c r="D9" s="4">
        <v>793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46307</v>
      </c>
      <c r="B10" s="9">
        <v>0.59438657407407403</v>
      </c>
      <c r="C10" s="6">
        <v>5.8359379999999996</v>
      </c>
      <c r="D10" s="4">
        <v>793</v>
      </c>
      <c r="E10" s="4" t="s">
        <v>36</v>
      </c>
      <c r="F10" s="10">
        <v>0.52</v>
      </c>
      <c r="G10" s="4" t="s">
        <v>37</v>
      </c>
    </row>
    <row r="11" spans="1:9" x14ac:dyDescent="0.2">
      <c r="A11" s="8">
        <v>46307</v>
      </c>
      <c r="B11" s="9">
        <v>0.59439814814814818</v>
      </c>
      <c r="C11" s="6">
        <v>6.3671879999999996</v>
      </c>
      <c r="D11" s="4">
        <v>792</v>
      </c>
      <c r="E11" s="4" t="s">
        <v>35</v>
      </c>
      <c r="F11" s="4" t="s">
        <v>35</v>
      </c>
      <c r="G11" s="4" t="s">
        <v>35</v>
      </c>
    </row>
    <row r="12" spans="1:9" x14ac:dyDescent="0.2">
      <c r="A12" s="8">
        <v>46307</v>
      </c>
      <c r="B12" s="9">
        <v>0.59439814814814818</v>
      </c>
      <c r="C12" s="6">
        <v>6.8671879999999996</v>
      </c>
      <c r="D12" s="4">
        <v>793</v>
      </c>
      <c r="E12" s="4" t="s">
        <v>35</v>
      </c>
      <c r="F12" s="4" t="s">
        <v>35</v>
      </c>
      <c r="G12" s="4" t="s">
        <v>35</v>
      </c>
    </row>
    <row r="13" spans="1:9" x14ac:dyDescent="0.2">
      <c r="A13" s="8">
        <v>46307</v>
      </c>
      <c r="B13" s="9">
        <v>0.59440972222222221</v>
      </c>
      <c r="C13" s="6">
        <v>7.3671879999999996</v>
      </c>
      <c r="D13" s="4">
        <v>794</v>
      </c>
      <c r="E13" s="4" t="s">
        <v>35</v>
      </c>
      <c r="F13" s="4" t="s">
        <v>35</v>
      </c>
      <c r="G13" s="4" t="s">
        <v>35</v>
      </c>
    </row>
    <row r="14" spans="1:9" x14ac:dyDescent="0.2">
      <c r="A14" s="8">
        <v>46307</v>
      </c>
      <c r="B14" s="9">
        <v>0.59440972222222221</v>
      </c>
      <c r="C14" s="6">
        <v>7.8671879999999996</v>
      </c>
      <c r="D14" s="4">
        <v>793</v>
      </c>
      <c r="E14" s="4" t="s">
        <v>35</v>
      </c>
      <c r="F14" s="4" t="s">
        <v>35</v>
      </c>
      <c r="G14" s="4" t="s">
        <v>35</v>
      </c>
    </row>
    <row r="15" spans="1:9" x14ac:dyDescent="0.2">
      <c r="A15" s="8">
        <v>46307</v>
      </c>
      <c r="B15" s="9">
        <v>0.59442129629629625</v>
      </c>
      <c r="C15" s="6">
        <v>8.3828130000000005</v>
      </c>
      <c r="D15" s="4">
        <v>794</v>
      </c>
      <c r="E15" s="4" t="s">
        <v>25</v>
      </c>
      <c r="F15" s="10">
        <v>0.52</v>
      </c>
      <c r="G15" s="4" t="s">
        <v>26</v>
      </c>
    </row>
    <row r="16" spans="1:9" x14ac:dyDescent="0.2">
      <c r="A16" s="8">
        <v>46307</v>
      </c>
      <c r="B16" s="9">
        <v>0.59442129629629625</v>
      </c>
      <c r="C16" s="6">
        <v>8.9140630000000005</v>
      </c>
      <c r="D16" s="4">
        <v>793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46307</v>
      </c>
      <c r="B17" s="9">
        <v>0.5944328703703704</v>
      </c>
      <c r="C17" s="6">
        <v>9.4140630000000005</v>
      </c>
      <c r="D17" s="4">
        <v>794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46307</v>
      </c>
      <c r="B18" s="9">
        <v>0.5944328703703704</v>
      </c>
      <c r="C18" s="6">
        <v>9.9140630000000005</v>
      </c>
      <c r="D18" s="4">
        <v>795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46307</v>
      </c>
      <c r="B19" s="9">
        <v>0.59444444444444444</v>
      </c>
      <c r="C19" s="6">
        <v>10.414059999999999</v>
      </c>
      <c r="D19" s="4">
        <v>794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46307</v>
      </c>
      <c r="B20" s="9">
        <v>0.59444444444444444</v>
      </c>
      <c r="C20" s="6">
        <v>10.92578</v>
      </c>
      <c r="D20" s="4">
        <v>795</v>
      </c>
      <c r="E20" s="4" t="s">
        <v>25</v>
      </c>
      <c r="F20" s="10">
        <v>0.52</v>
      </c>
      <c r="G20" s="4" t="s">
        <v>26</v>
      </c>
    </row>
    <row r="21" spans="1:7" x14ac:dyDescent="0.2">
      <c r="A21" s="8">
        <v>46307</v>
      </c>
      <c r="B21" s="9">
        <v>0.59445601851851848</v>
      </c>
      <c r="C21" s="6">
        <v>11.445309999999999</v>
      </c>
      <c r="D21" s="4">
        <v>794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1" t="s">
        <v>3</v>
      </c>
      <c r="F3" s="12"/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1</v>
      </c>
      <c r="E6" s="13"/>
      <c r="F6" s="14"/>
    </row>
    <row r="7" spans="2:13" ht="12.75" customHeight="1" x14ac:dyDescent="0.2">
      <c r="B7" s="1" t="s">
        <v>6</v>
      </c>
      <c r="C7" s="2" t="b">
        <v>1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38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536.25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溫度</vt:lpstr>
      <vt:lpstr>去離子空白</vt:lpstr>
      <vt:lpstr>降溫30</vt:lpstr>
      <vt:lpstr>降溫40</vt:lpstr>
      <vt:lpstr>降溫50</vt:lpstr>
      <vt:lpstr>降溫60</vt:lpstr>
      <vt:lpstr>降溫70</vt:lpstr>
      <vt:lpstr>降溫80</vt:lpstr>
      <vt:lpstr>升溫30</vt:lpstr>
      <vt:lpstr>升溫40</vt:lpstr>
      <vt:lpstr>升溫50</vt:lpstr>
      <vt:lpstr>升溫60</vt:lpstr>
      <vt:lpstr>升溫70</vt:lpstr>
      <vt:lpstr>升溫80</vt:lpstr>
      <vt:lpstr>A2</vt:lpstr>
      <vt:lpstr>A3</vt:lpstr>
      <vt:lpstr>A4</vt:lpstr>
      <vt:lpstr>B2</vt:lpstr>
      <vt:lpstr>B3</vt:lpstr>
      <vt:lpstr>B4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2026-10-12T06:52:12Z</dcterms:modified>
</cp:coreProperties>
</file>