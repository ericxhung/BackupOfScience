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10_15\"/>
    </mc:Choice>
  </mc:AlternateContent>
  <xr:revisionPtr revIDLastSave="0" documentId="13_ncr:1_{A7CC4DE8-F010-45A7-8736-5F856F99F37C}" xr6:coauthVersionLast="47" xr6:coauthVersionMax="47" xr10:uidLastSave="{00000000-0000-0000-0000-000000000000}"/>
  <bookViews>
    <workbookView xWindow="-120" yWindow="-120" windowWidth="20730" windowHeight="11160" tabRatio="795" firstSheet="7" activeTab="19" xr2:uid="{00000000-000D-0000-FFFF-FFFF00000000}"/>
  </bookViews>
  <sheets>
    <sheet name="溫度" sheetId="36" r:id="rId1"/>
    <sheet name="A2" sheetId="37" r:id="rId2"/>
    <sheet name="A3" sheetId="38" r:id="rId3"/>
    <sheet name="A4" sheetId="39" r:id="rId4"/>
    <sheet name="B2" sheetId="40" r:id="rId5"/>
    <sheet name="B3" sheetId="41" r:id="rId6"/>
    <sheet name="B4" sheetId="42" r:id="rId7"/>
    <sheet name="降溫30" sheetId="43" r:id="rId8"/>
    <sheet name="降溫40" sheetId="44" r:id="rId9"/>
    <sheet name="降溫50" sheetId="45" r:id="rId10"/>
    <sheet name="降溫60" sheetId="46" r:id="rId11"/>
    <sheet name="降溫70" sheetId="47" r:id="rId12"/>
    <sheet name="降溫80" sheetId="48" r:id="rId13"/>
    <sheet name="升溫30" sheetId="49" r:id="rId14"/>
    <sheet name="升溫40" sheetId="50" r:id="rId15"/>
    <sheet name="升溫50" sheetId="51" r:id="rId16"/>
    <sheet name="升溫60" sheetId="52" r:id="rId17"/>
    <sheet name="升溫70" sheetId="53" r:id="rId18"/>
    <sheet name="升溫80" sheetId="54" r:id="rId19"/>
    <sheet name="去離子空白" sheetId="55" r:id="rId20"/>
    <sheet name="PLXDAQ_new_Settings" sheetId="6" state="hidden" r:id="rId2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6" l="1"/>
  <c r="I2" i="6"/>
  <c r="I3" i="55"/>
  <c r="I2" i="55"/>
  <c r="I3" i="54"/>
  <c r="I2" i="54"/>
  <c r="I3" i="53"/>
  <c r="I2" i="53"/>
  <c r="I3" i="52"/>
  <c r="I2" i="52"/>
  <c r="I3" i="51"/>
  <c r="I2" i="51"/>
  <c r="I3" i="50"/>
  <c r="I2" i="50"/>
  <c r="I3" i="49"/>
  <c r="I2" i="49"/>
  <c r="I3" i="48"/>
  <c r="I2" i="48"/>
  <c r="I3" i="47"/>
  <c r="I2" i="47"/>
  <c r="I3" i="46"/>
  <c r="I2" i="46"/>
  <c r="I3" i="45"/>
  <c r="I2" i="45"/>
  <c r="I3" i="44"/>
  <c r="I2" i="44"/>
  <c r="I3" i="43"/>
  <c r="I2" i="43"/>
  <c r="I3" i="42"/>
  <c r="I2" i="42"/>
  <c r="I3" i="41"/>
  <c r="I2" i="41"/>
  <c r="I3" i="40"/>
  <c r="I2" i="40"/>
  <c r="I3" i="39"/>
  <c r="I2" i="39"/>
  <c r="I3" i="38"/>
  <c r="I2" i="38"/>
  <c r="I3" i="37"/>
  <c r="I2" i="37"/>
</calcChain>
</file>

<file path=xl/sharedStrings.xml><?xml version="1.0" encoding="utf-8"?>
<sst xmlns="http://schemas.openxmlformats.org/spreadsheetml/2006/main" count="1217" uniqueCount="36">
  <si>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</si>
  <si>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</si>
  <si>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</si>
  <si>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</si>
  <si>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</si>
  <si>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</si>
  <si>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</si>
  <si>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</si>
  <si>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</si>
  <si>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</si>
  <si>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</si>
  <si>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</si>
  <si>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</si>
  <si>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</si>
  <si>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</si>
  <si>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</si>
  <si>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</si>
  <si>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</si>
  <si>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</si>
  <si>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</si>
  <si>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</si>
  <si>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</si>
  <si>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</si>
  <si>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</si>
  <si>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</si>
  <si>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26.00 C</t>
  </si>
  <si>
    <t>NULL</t>
  </si>
  <si>
    <t>Error</t>
  </si>
  <si>
    <t>Date</t>
    <phoneticPr fontId="4" type="noConversion"/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</si>
  <si>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</si>
  <si>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</si>
  <si>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</si>
  <si>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</si>
  <si>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</si>
  <si>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</si>
  <si>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去離子空白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</si>
</sst>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G21"/>
  <sheetViews>
    <sheetView workbookViewId="0">
      <selection activeCell="G21" sqref="G21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46310</v>
      </c>
      <c r="B2" s="9">
        <v>0.56944444444444442</v>
      </c>
      <c r="C2" s="6">
        <v>1.875</v>
      </c>
      <c r="D2" s="4">
        <v>3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46310</v>
      </c>
      <c r="B3" s="9">
        <v>0.56944444444444442</v>
      </c>
      <c r="C3" s="6">
        <v>2.265625</v>
      </c>
      <c r="D3" s="4">
        <v>0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46310</v>
      </c>
      <c r="B4" s="9">
        <v>0.56945601851851857</v>
      </c>
      <c r="C4" s="6">
        <v>2.765625</v>
      </c>
      <c r="D4" s="4">
        <v>0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46310</v>
      </c>
      <c r="B5" s="9">
        <v>0.56946759259259261</v>
      </c>
      <c r="C5" s="6">
        <v>3.296875</v>
      </c>
      <c r="D5" s="4">
        <v>2</v>
      </c>
      <c r="E5" s="4" t="s">
        <v>25</v>
      </c>
      <c r="F5" s="10">
        <v>0.55000000000000004</v>
      </c>
      <c r="G5" s="4" t="s">
        <v>26</v>
      </c>
    </row>
    <row r="6" spans="1:7" x14ac:dyDescent="0.2">
      <c r="A6" s="8">
        <v>46310</v>
      </c>
      <c r="B6" s="9">
        <v>0.56946759259259261</v>
      </c>
      <c r="C6" s="6">
        <v>3.8125</v>
      </c>
      <c r="D6" s="4">
        <v>0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46310</v>
      </c>
      <c r="B7" s="9">
        <v>0.56947916666666665</v>
      </c>
      <c r="C7" s="6">
        <v>4.3125</v>
      </c>
      <c r="D7" s="4">
        <v>0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46310</v>
      </c>
      <c r="B8" s="9">
        <v>0.56947916666666665</v>
      </c>
      <c r="C8" s="6">
        <v>4.8125</v>
      </c>
      <c r="D8" s="4">
        <v>0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46310</v>
      </c>
      <c r="B9" s="9">
        <v>0.56949074074074069</v>
      </c>
      <c r="C9" s="6">
        <v>5.3125</v>
      </c>
      <c r="D9" s="4">
        <v>0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46310</v>
      </c>
      <c r="B10" s="9">
        <v>0.56949074074074069</v>
      </c>
      <c r="C10" s="6">
        <v>5.828125</v>
      </c>
      <c r="D10" s="4">
        <v>0</v>
      </c>
      <c r="E10" s="4" t="s">
        <v>25</v>
      </c>
      <c r="F10" s="10">
        <v>0.55000000000000004</v>
      </c>
      <c r="G10" s="4" t="s">
        <v>26</v>
      </c>
    </row>
    <row r="11" spans="1:7" x14ac:dyDescent="0.2">
      <c r="A11" s="8">
        <v>46310</v>
      </c>
      <c r="B11" s="9">
        <v>0.56950231481481484</v>
      </c>
      <c r="C11" s="6">
        <v>6.34375</v>
      </c>
      <c r="D11" s="4">
        <v>3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46310</v>
      </c>
      <c r="B12" s="9">
        <v>0.56950231481481484</v>
      </c>
      <c r="C12" s="6">
        <v>6.8476559999999997</v>
      </c>
      <c r="D12" s="4">
        <v>0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46310</v>
      </c>
      <c r="B13" s="9">
        <v>0.56951388888888888</v>
      </c>
      <c r="C13" s="6">
        <v>7.3476559999999997</v>
      </c>
      <c r="D13" s="4">
        <v>0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46310</v>
      </c>
      <c r="B14" s="9">
        <v>0.56951388888888888</v>
      </c>
      <c r="C14" s="6">
        <v>7.84375</v>
      </c>
      <c r="D14" s="4">
        <v>5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46310</v>
      </c>
      <c r="B15" s="9">
        <v>0.56952546296296291</v>
      </c>
      <c r="C15" s="6">
        <v>8.3789060000000006</v>
      </c>
      <c r="D15" s="4">
        <v>0</v>
      </c>
      <c r="E15" s="4" t="s">
        <v>25</v>
      </c>
      <c r="F15" s="10">
        <v>0.55000000000000004</v>
      </c>
      <c r="G15" s="4" t="s">
        <v>26</v>
      </c>
    </row>
    <row r="16" spans="1:7" x14ac:dyDescent="0.2">
      <c r="A16" s="8">
        <v>46310</v>
      </c>
      <c r="B16" s="9">
        <v>0.56952546296296291</v>
      </c>
      <c r="C16" s="6">
        <v>8.890625</v>
      </c>
      <c r="D16" s="4">
        <v>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0.56953703703703706</v>
      </c>
      <c r="C17" s="6">
        <v>9.390625</v>
      </c>
      <c r="D17" s="4">
        <v>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0.56953703703703706</v>
      </c>
      <c r="C18" s="6">
        <v>9.890625</v>
      </c>
      <c r="D18" s="4">
        <v>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0.5695486111111111</v>
      </c>
      <c r="C19" s="6">
        <v>10.39063</v>
      </c>
      <c r="D19" s="4">
        <v>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0.5695486111111111</v>
      </c>
      <c r="C20" s="6">
        <v>10.92188</v>
      </c>
      <c r="D20" s="4">
        <v>0</v>
      </c>
      <c r="E20" s="4" t="s">
        <v>25</v>
      </c>
      <c r="F20" s="10">
        <v>0.55000000000000004</v>
      </c>
      <c r="G20" s="4" t="s">
        <v>26</v>
      </c>
    </row>
    <row r="21" spans="1:7" x14ac:dyDescent="0.2">
      <c r="A21" s="8">
        <v>46310</v>
      </c>
      <c r="B21" s="9">
        <v>0.56956018518518514</v>
      </c>
      <c r="C21" s="6">
        <v>11.4375</v>
      </c>
      <c r="D21" s="4">
        <v>3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A9D58-7AB8-462A-A495-7956E5C55A4C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0.57187500000000002</v>
      </c>
      <c r="C2" s="6">
        <v>1.8125</v>
      </c>
      <c r="D2" s="4">
        <v>820</v>
      </c>
      <c r="E2" s="4" t="s">
        <v>24</v>
      </c>
      <c r="F2" s="4" t="s">
        <v>24</v>
      </c>
      <c r="G2" s="4" t="s">
        <v>24</v>
      </c>
      <c r="I2">
        <f>AVERAGE(D2:D21)</f>
        <v>816.75</v>
      </c>
    </row>
    <row r="3" spans="1:9" x14ac:dyDescent="0.2">
      <c r="A3" s="8">
        <v>46310</v>
      </c>
      <c r="B3" s="9">
        <v>0.57187500000000002</v>
      </c>
      <c r="C3" s="6">
        <v>2.28125</v>
      </c>
      <c r="D3" s="4">
        <v>818</v>
      </c>
      <c r="E3" s="4" t="s">
        <v>24</v>
      </c>
      <c r="F3" s="4" t="s">
        <v>24</v>
      </c>
      <c r="G3" s="4" t="s">
        <v>24</v>
      </c>
      <c r="I3">
        <f>91*(1023-I2)/I2</f>
        <v>22.979797979797979</v>
      </c>
    </row>
    <row r="4" spans="1:9" x14ac:dyDescent="0.2">
      <c r="A4" s="8">
        <v>46310</v>
      </c>
      <c r="B4" s="9">
        <v>0.57188657407407406</v>
      </c>
      <c r="C4" s="6">
        <v>2.78125</v>
      </c>
      <c r="D4" s="4">
        <v>819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0.57188657407407406</v>
      </c>
      <c r="C5" s="6">
        <v>3.296875</v>
      </c>
      <c r="D5" s="4">
        <v>817</v>
      </c>
      <c r="E5" s="4" t="s">
        <v>25</v>
      </c>
      <c r="F5" s="10">
        <v>0.54</v>
      </c>
      <c r="G5" s="4" t="s">
        <v>26</v>
      </c>
    </row>
    <row r="6" spans="1:9" x14ac:dyDescent="0.2">
      <c r="A6" s="8">
        <v>46310</v>
      </c>
      <c r="B6" s="9">
        <v>0.5718981481481481</v>
      </c>
      <c r="C6" s="6">
        <v>3.828125</v>
      </c>
      <c r="D6" s="4">
        <v>817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0.5718981481481481</v>
      </c>
      <c r="C7" s="6">
        <v>4.328125</v>
      </c>
      <c r="D7" s="4">
        <v>818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0.57190972222222225</v>
      </c>
      <c r="C8" s="6">
        <v>4.828125</v>
      </c>
      <c r="D8" s="4">
        <v>817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0.57190972222222225</v>
      </c>
      <c r="C9" s="6">
        <v>5.328125</v>
      </c>
      <c r="D9" s="4">
        <v>817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0.57192129629629629</v>
      </c>
      <c r="C10" s="6">
        <v>6.3398440000000003</v>
      </c>
      <c r="D10" s="4">
        <v>817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46310</v>
      </c>
      <c r="B11" s="9">
        <v>0.57193287037037033</v>
      </c>
      <c r="C11" s="6">
        <v>6.8710940000000003</v>
      </c>
      <c r="D11" s="4">
        <v>816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46310</v>
      </c>
      <c r="B12" s="9">
        <v>0.57194444444444448</v>
      </c>
      <c r="C12" s="6">
        <v>7.9023440000000003</v>
      </c>
      <c r="D12" s="4">
        <v>816</v>
      </c>
      <c r="E12" s="4" t="s">
        <v>27</v>
      </c>
      <c r="F12" s="4" t="s">
        <v>27</v>
      </c>
      <c r="G12" s="4">
        <v>-237</v>
      </c>
    </row>
    <row r="13" spans="1:9" x14ac:dyDescent="0.2">
      <c r="A13" s="8">
        <v>46310</v>
      </c>
      <c r="B13" s="9">
        <v>0.57194444444444448</v>
      </c>
      <c r="C13" s="6">
        <v>8.4335939999999994</v>
      </c>
      <c r="D13" s="4">
        <v>816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46310</v>
      </c>
      <c r="B14" s="9">
        <v>0.57195601851851852</v>
      </c>
      <c r="C14" s="6">
        <v>8.9648439999999994</v>
      </c>
      <c r="D14" s="4">
        <v>815</v>
      </c>
      <c r="E14" s="4" t="s">
        <v>25</v>
      </c>
      <c r="F14" s="10">
        <v>0.54</v>
      </c>
      <c r="G14" s="4" t="s">
        <v>26</v>
      </c>
    </row>
    <row r="15" spans="1:9" x14ac:dyDescent="0.2">
      <c r="A15" s="8">
        <v>46310</v>
      </c>
      <c r="B15" s="9">
        <v>0.57195601851851852</v>
      </c>
      <c r="C15" s="6">
        <v>9.4960939999999994</v>
      </c>
      <c r="D15" s="4">
        <v>817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46310</v>
      </c>
      <c r="B16" s="9">
        <v>0.57196759259259256</v>
      </c>
      <c r="C16" s="6">
        <v>9.9960939999999994</v>
      </c>
      <c r="D16" s="4">
        <v>815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0.57196759259259256</v>
      </c>
      <c r="C17" s="6">
        <v>10.496090000000001</v>
      </c>
      <c r="D17" s="4">
        <v>817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0.57197916666666671</v>
      </c>
      <c r="C18" s="6">
        <v>10.98047</v>
      </c>
      <c r="D18" s="4">
        <v>815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0.57199074074074074</v>
      </c>
      <c r="C19" s="6">
        <v>11.51172</v>
      </c>
      <c r="D19" s="4">
        <v>816</v>
      </c>
      <c r="E19" s="4" t="s">
        <v>25</v>
      </c>
      <c r="F19" s="10">
        <v>0.54</v>
      </c>
      <c r="G19" s="4" t="s">
        <v>26</v>
      </c>
    </row>
    <row r="20" spans="1:7" x14ac:dyDescent="0.2">
      <c r="A20" s="8">
        <v>46310</v>
      </c>
      <c r="B20" s="9">
        <v>0.57199074074074074</v>
      </c>
      <c r="C20" s="6">
        <v>12.027340000000001</v>
      </c>
      <c r="D20" s="4">
        <v>816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46310</v>
      </c>
      <c r="B21" s="9">
        <v>0.57200231481481478</v>
      </c>
      <c r="C21" s="6">
        <v>12.527340000000001</v>
      </c>
      <c r="D21" s="4">
        <v>816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467B7-7F84-41AC-BAF7-BAF57EBD1428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0.57818287037037042</v>
      </c>
      <c r="C2" s="6">
        <v>1.8125</v>
      </c>
      <c r="D2" s="4">
        <v>828</v>
      </c>
      <c r="E2" s="4" t="s">
        <v>24</v>
      </c>
      <c r="F2" s="4" t="s">
        <v>24</v>
      </c>
      <c r="G2" s="4" t="s">
        <v>24</v>
      </c>
      <c r="I2">
        <f>AVERAGE(D2:D21)</f>
        <v>825.2</v>
      </c>
    </row>
    <row r="3" spans="1:9" x14ac:dyDescent="0.2">
      <c r="A3" s="8">
        <v>46310</v>
      </c>
      <c r="B3" s="9">
        <v>0.57819444444444446</v>
      </c>
      <c r="C3" s="6">
        <v>2.28125</v>
      </c>
      <c r="D3" s="4">
        <v>830</v>
      </c>
      <c r="E3" s="4" t="s">
        <v>24</v>
      </c>
      <c r="F3" s="4" t="s">
        <v>24</v>
      </c>
      <c r="G3" s="4" t="s">
        <v>24</v>
      </c>
      <c r="I3">
        <f>91*(1023-I2)/I2</f>
        <v>21.812651478429466</v>
      </c>
    </row>
    <row r="4" spans="1:9" x14ac:dyDescent="0.2">
      <c r="A4" s="8">
        <v>46310</v>
      </c>
      <c r="B4" s="9">
        <v>0.57819444444444446</v>
      </c>
      <c r="C4" s="6">
        <v>2.7773439999999998</v>
      </c>
      <c r="D4" s="4">
        <v>828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0.57820601851851849</v>
      </c>
      <c r="C5" s="6">
        <v>3.296875</v>
      </c>
      <c r="D5" s="4">
        <v>828</v>
      </c>
      <c r="E5" s="4" t="s">
        <v>25</v>
      </c>
      <c r="F5" s="10">
        <v>0.54</v>
      </c>
      <c r="G5" s="4" t="s">
        <v>26</v>
      </c>
    </row>
    <row r="6" spans="1:9" x14ac:dyDescent="0.2">
      <c r="A6" s="8">
        <v>46310</v>
      </c>
      <c r="B6" s="9">
        <v>0.57820601851851849</v>
      </c>
      <c r="C6" s="6">
        <v>3.828125</v>
      </c>
      <c r="D6" s="4">
        <v>828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0.57821759259259264</v>
      </c>
      <c r="C7" s="6">
        <v>4.3203129999999996</v>
      </c>
      <c r="D7" s="4">
        <v>826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0.57821759259259264</v>
      </c>
      <c r="C8" s="6">
        <v>4.828125</v>
      </c>
      <c r="D8" s="4">
        <v>826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0.57822916666666668</v>
      </c>
      <c r="C9" s="6">
        <v>5.3359379999999996</v>
      </c>
      <c r="D9" s="4">
        <v>825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0.57824074074074072</v>
      </c>
      <c r="C10" s="6">
        <v>6.3476559999999997</v>
      </c>
      <c r="D10" s="4">
        <v>825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46310</v>
      </c>
      <c r="B11" s="9">
        <v>0.57824074074074072</v>
      </c>
      <c r="C11" s="6">
        <v>6.875</v>
      </c>
      <c r="D11" s="4">
        <v>826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46310</v>
      </c>
      <c r="B12" s="9">
        <v>0.57825231481481476</v>
      </c>
      <c r="C12" s="6">
        <v>7.4101559999999997</v>
      </c>
      <c r="D12" s="4">
        <v>825</v>
      </c>
      <c r="E12" s="4" t="s">
        <v>25</v>
      </c>
      <c r="F12" s="10">
        <v>0.53</v>
      </c>
      <c r="G12" s="4" t="s">
        <v>26</v>
      </c>
    </row>
    <row r="13" spans="1:9" x14ac:dyDescent="0.2">
      <c r="A13" s="8">
        <v>46310</v>
      </c>
      <c r="B13" s="9">
        <v>0.57825231481481476</v>
      </c>
      <c r="C13" s="6">
        <v>7.9335940000000003</v>
      </c>
      <c r="D13" s="4">
        <v>824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0.57826388888888891</v>
      </c>
      <c r="C14" s="6">
        <v>8.4609380000000005</v>
      </c>
      <c r="D14" s="4">
        <v>824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0.57826388888888891</v>
      </c>
      <c r="C15" s="6">
        <v>8.9335939999999994</v>
      </c>
      <c r="D15" s="4">
        <v>822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46310</v>
      </c>
      <c r="B16" s="9">
        <v>0.57827546296296295</v>
      </c>
      <c r="C16" s="6">
        <v>9.421875</v>
      </c>
      <c r="D16" s="4">
        <v>824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0.57828703703703699</v>
      </c>
      <c r="C17" s="6">
        <v>10.4375</v>
      </c>
      <c r="D17" s="4">
        <v>824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46310</v>
      </c>
      <c r="B18" s="9">
        <v>0.57829861111111114</v>
      </c>
      <c r="C18" s="6">
        <v>10.96875</v>
      </c>
      <c r="D18" s="4">
        <v>822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46310</v>
      </c>
      <c r="B19" s="9">
        <v>0.57829861111111114</v>
      </c>
      <c r="C19" s="6">
        <v>11.5</v>
      </c>
      <c r="D19" s="4">
        <v>823</v>
      </c>
      <c r="E19" s="4" t="s">
        <v>25</v>
      </c>
      <c r="F19" s="10">
        <v>0.53</v>
      </c>
      <c r="G19" s="4" t="s">
        <v>26</v>
      </c>
    </row>
    <row r="20" spans="1:7" x14ac:dyDescent="0.2">
      <c r="A20" s="8">
        <v>46310</v>
      </c>
      <c r="B20" s="9">
        <v>0.57831018518518518</v>
      </c>
      <c r="C20" s="6">
        <v>12.03125</v>
      </c>
      <c r="D20" s="4">
        <v>823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46310</v>
      </c>
      <c r="B21" s="9">
        <v>0.57831018518518518</v>
      </c>
      <c r="C21" s="6">
        <v>12.53125</v>
      </c>
      <c r="D21" s="4">
        <v>823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4564B-893F-4C6E-8571-AFC1FAEBB36F}">
  <dimension ref="A1:I54"/>
  <sheetViews>
    <sheetView workbookViewId="0">
      <selection activeCell="J26" sqref="J26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0.58128472222222227</v>
      </c>
      <c r="C2" s="6">
        <v>1.816406</v>
      </c>
      <c r="D2" s="4">
        <v>838</v>
      </c>
      <c r="E2" s="4" t="s">
        <v>24</v>
      </c>
      <c r="F2" s="4" t="s">
        <v>24</v>
      </c>
      <c r="G2" s="4" t="s">
        <v>24</v>
      </c>
      <c r="I2">
        <f>AVERAGE(D2:D21)</f>
        <v>825.5</v>
      </c>
    </row>
    <row r="3" spans="1:9" x14ac:dyDescent="0.2">
      <c r="A3" s="8">
        <v>46310</v>
      </c>
      <c r="B3" s="9">
        <v>0.58128472222222227</v>
      </c>
      <c r="C3" s="6">
        <v>2.28125</v>
      </c>
      <c r="D3" s="4">
        <v>838</v>
      </c>
      <c r="E3" s="4" t="s">
        <v>24</v>
      </c>
      <c r="F3" s="4" t="s">
        <v>24</v>
      </c>
      <c r="G3" s="4" t="s">
        <v>24</v>
      </c>
      <c r="I3">
        <f>91*(1023-I2)/I2</f>
        <v>21.771653543307085</v>
      </c>
    </row>
    <row r="4" spans="1:9" x14ac:dyDescent="0.2">
      <c r="A4" s="8">
        <v>46310</v>
      </c>
      <c r="B4" s="9">
        <v>0.58129629629629631</v>
      </c>
      <c r="C4" s="6">
        <v>2.78125</v>
      </c>
      <c r="D4" s="4">
        <v>833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0.58129629629629631</v>
      </c>
      <c r="C5" s="6">
        <v>3.3085939999999998</v>
      </c>
      <c r="D5" s="4">
        <v>840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46310</v>
      </c>
      <c r="B6" s="9">
        <v>0.58130787037037035</v>
      </c>
      <c r="C6" s="6">
        <v>3.828125</v>
      </c>
      <c r="D6" s="4">
        <v>830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0.58130787037037035</v>
      </c>
      <c r="C7" s="6">
        <v>4.328125</v>
      </c>
      <c r="D7" s="4">
        <v>828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0.5813194444444445</v>
      </c>
      <c r="C8" s="6">
        <v>4.8242190000000003</v>
      </c>
      <c r="D8" s="4">
        <v>830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0.5813194444444445</v>
      </c>
      <c r="C9" s="6">
        <v>5.3242190000000003</v>
      </c>
      <c r="D9" s="4">
        <v>825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0.58133101851851854</v>
      </c>
      <c r="C10" s="6">
        <v>6.3398440000000003</v>
      </c>
      <c r="D10" s="4">
        <v>825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46310</v>
      </c>
      <c r="B11" s="9">
        <v>0.58134259259259258</v>
      </c>
      <c r="C11" s="6">
        <v>6.875</v>
      </c>
      <c r="D11" s="4">
        <v>823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46310</v>
      </c>
      <c r="B12" s="9">
        <v>0.58135416666666662</v>
      </c>
      <c r="C12" s="6">
        <v>7.40625</v>
      </c>
      <c r="D12" s="4">
        <v>821</v>
      </c>
      <c r="E12" s="4" t="s">
        <v>25</v>
      </c>
      <c r="F12" s="10">
        <v>0.54</v>
      </c>
      <c r="G12" s="4" t="s">
        <v>26</v>
      </c>
    </row>
    <row r="13" spans="1:9" x14ac:dyDescent="0.2">
      <c r="A13" s="8">
        <v>46310</v>
      </c>
      <c r="B13" s="9">
        <v>0.58135416666666662</v>
      </c>
      <c r="C13" s="6">
        <v>7.921875</v>
      </c>
      <c r="D13" s="4">
        <v>823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0.58136574074074077</v>
      </c>
      <c r="C14" s="6">
        <v>8.421875</v>
      </c>
      <c r="D14" s="4">
        <v>821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0.58136574074074077</v>
      </c>
      <c r="C15" s="6">
        <v>8.9375</v>
      </c>
      <c r="D15" s="4">
        <v>820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46310</v>
      </c>
      <c r="B16" s="9">
        <v>0.58137731481481481</v>
      </c>
      <c r="C16" s="6">
        <v>9.4375</v>
      </c>
      <c r="D16" s="4">
        <v>820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0.58138888888888884</v>
      </c>
      <c r="C17" s="6">
        <v>10.45313</v>
      </c>
      <c r="D17" s="4">
        <v>819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46310</v>
      </c>
      <c r="B18" s="9">
        <v>0.58138888888888884</v>
      </c>
      <c r="C18" s="6">
        <v>10.96875</v>
      </c>
      <c r="D18" s="4">
        <v>821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46310</v>
      </c>
      <c r="B19" s="9">
        <v>0.58140046296296299</v>
      </c>
      <c r="C19" s="6">
        <v>11.5</v>
      </c>
      <c r="D19" s="4">
        <v>820</v>
      </c>
      <c r="E19" s="4" t="s">
        <v>27</v>
      </c>
      <c r="F19" s="4" t="s">
        <v>27</v>
      </c>
      <c r="G19" s="4">
        <v>21</v>
      </c>
    </row>
    <row r="20" spans="1:7" x14ac:dyDescent="0.2">
      <c r="A20" s="8">
        <v>46310</v>
      </c>
      <c r="B20" s="9">
        <v>0.58140046296296299</v>
      </c>
      <c r="C20" s="6">
        <v>12.039059999999999</v>
      </c>
      <c r="D20" s="4">
        <v>817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46310</v>
      </c>
      <c r="B21" s="9">
        <v>0.58141203703703703</v>
      </c>
      <c r="C21" s="6">
        <v>12.5625</v>
      </c>
      <c r="D21" s="4">
        <v>818</v>
      </c>
      <c r="E21" s="4" t="s">
        <v>27</v>
      </c>
      <c r="F21" s="4" t="s">
        <v>27</v>
      </c>
      <c r="G21" s="4">
        <v>4112</v>
      </c>
    </row>
    <row r="22" spans="1:7" x14ac:dyDescent="0.2">
      <c r="A22" s="8"/>
      <c r="B22" s="9"/>
      <c r="F22" s="10"/>
    </row>
    <row r="23" spans="1:7" x14ac:dyDescent="0.2">
      <c r="A23" s="8"/>
      <c r="B23" s="9"/>
    </row>
    <row r="24" spans="1:7" x14ac:dyDescent="0.2">
      <c r="A24" s="8"/>
      <c r="B24" s="9"/>
    </row>
    <row r="25" spans="1:7" x14ac:dyDescent="0.2">
      <c r="A25" s="8"/>
      <c r="B25" s="9"/>
    </row>
    <row r="26" spans="1:7" x14ac:dyDescent="0.2">
      <c r="A26" s="8"/>
      <c r="B26" s="9"/>
    </row>
    <row r="27" spans="1:7" x14ac:dyDescent="0.2">
      <c r="A27" s="8"/>
      <c r="B27" s="9"/>
      <c r="F27" s="10"/>
    </row>
    <row r="28" spans="1:7" x14ac:dyDescent="0.2">
      <c r="A28" s="8"/>
      <c r="B28" s="9"/>
    </row>
    <row r="29" spans="1:7" x14ac:dyDescent="0.2">
      <c r="A29" s="8"/>
      <c r="B29" s="9"/>
    </row>
    <row r="30" spans="1:7" x14ac:dyDescent="0.2">
      <c r="A30" s="8"/>
      <c r="B30" s="9"/>
    </row>
    <row r="31" spans="1:7" x14ac:dyDescent="0.2">
      <c r="A31" s="8"/>
      <c r="B31" s="9"/>
    </row>
    <row r="32" spans="1:7" x14ac:dyDescent="0.2">
      <c r="A32" s="8"/>
      <c r="B32" s="9"/>
    </row>
    <row r="33" spans="1:6" x14ac:dyDescent="0.2">
      <c r="A33" s="8"/>
      <c r="B33" s="9"/>
    </row>
    <row r="34" spans="1:6" x14ac:dyDescent="0.2">
      <c r="A34" s="8"/>
      <c r="B34" s="9"/>
    </row>
    <row r="35" spans="1:6" x14ac:dyDescent="0.2">
      <c r="A35" s="8"/>
      <c r="B35" s="9"/>
    </row>
    <row r="36" spans="1:6" x14ac:dyDescent="0.2">
      <c r="A36" s="8"/>
      <c r="B36" s="9"/>
    </row>
    <row r="37" spans="1:6" x14ac:dyDescent="0.2">
      <c r="A37" s="8"/>
      <c r="B37" s="9"/>
    </row>
    <row r="38" spans="1:6" x14ac:dyDescent="0.2">
      <c r="A38" s="8"/>
      <c r="B38" s="9"/>
    </row>
    <row r="39" spans="1:6" x14ac:dyDescent="0.2">
      <c r="A39" s="8"/>
      <c r="B39" s="9"/>
    </row>
    <row r="40" spans="1:6" x14ac:dyDescent="0.2">
      <c r="A40" s="8"/>
      <c r="B40" s="9"/>
    </row>
    <row r="41" spans="1:6" x14ac:dyDescent="0.2">
      <c r="A41" s="8"/>
      <c r="B41" s="9"/>
    </row>
    <row r="42" spans="1:6" x14ac:dyDescent="0.2">
      <c r="A42" s="8"/>
      <c r="B42" s="9"/>
    </row>
    <row r="43" spans="1:6" x14ac:dyDescent="0.2">
      <c r="A43" s="8"/>
      <c r="B43" s="9"/>
    </row>
    <row r="44" spans="1:6" x14ac:dyDescent="0.2">
      <c r="A44" s="8"/>
      <c r="B44" s="9"/>
      <c r="F44" s="10"/>
    </row>
    <row r="45" spans="1:6" x14ac:dyDescent="0.2">
      <c r="A45" s="8"/>
      <c r="B45" s="9"/>
    </row>
    <row r="46" spans="1:6" x14ac:dyDescent="0.2">
      <c r="A46" s="8"/>
      <c r="B46" s="9"/>
    </row>
    <row r="47" spans="1:6" x14ac:dyDescent="0.2">
      <c r="A47" s="8"/>
      <c r="B47" s="9"/>
    </row>
    <row r="48" spans="1:6" x14ac:dyDescent="0.2">
      <c r="A48" s="8"/>
      <c r="B48" s="9"/>
    </row>
    <row r="49" spans="1:6" x14ac:dyDescent="0.2">
      <c r="A49" s="8"/>
      <c r="B49" s="9"/>
    </row>
    <row r="50" spans="1:6" x14ac:dyDescent="0.2">
      <c r="A50" s="8"/>
      <c r="B50" s="9"/>
    </row>
    <row r="51" spans="1:6" x14ac:dyDescent="0.2">
      <c r="A51" s="8"/>
      <c r="B51" s="9"/>
      <c r="F51" s="10"/>
    </row>
    <row r="52" spans="1:6" x14ac:dyDescent="0.2">
      <c r="A52" s="8"/>
      <c r="B52" s="9"/>
    </row>
    <row r="53" spans="1:6" x14ac:dyDescent="0.2">
      <c r="A53" s="8"/>
      <c r="B53" s="9"/>
    </row>
    <row r="54" spans="1:6" x14ac:dyDescent="0.2">
      <c r="A54" s="8"/>
      <c r="B54" s="9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C79F0-0B46-4B2B-AEFC-954B70419E9B}">
  <dimension ref="A1:I21"/>
  <sheetViews>
    <sheetView workbookViewId="0">
      <selection activeCell="D21" sqref="D21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46310</v>
      </c>
      <c r="B2" s="9">
        <v>0.59774305555555551</v>
      </c>
      <c r="C2" s="6">
        <v>1.796875</v>
      </c>
      <c r="D2" s="11">
        <v>805</v>
      </c>
      <c r="E2" s="11" t="s">
        <v>24</v>
      </c>
      <c r="F2" s="11" t="s">
        <v>24</v>
      </c>
      <c r="G2" s="11" t="s">
        <v>24</v>
      </c>
      <c r="I2">
        <f>AVERAGE(D2:D21)</f>
        <v>799.8</v>
      </c>
    </row>
    <row r="3" spans="1:9" x14ac:dyDescent="0.2">
      <c r="A3" s="8">
        <v>46310</v>
      </c>
      <c r="B3" s="9">
        <v>0.59774305555555551</v>
      </c>
      <c r="C3" s="6">
        <v>2.2695310000000002</v>
      </c>
      <c r="D3" s="11">
        <v>805</v>
      </c>
      <c r="E3" s="11" t="s">
        <v>24</v>
      </c>
      <c r="F3" s="11" t="s">
        <v>24</v>
      </c>
      <c r="G3" s="11" t="s">
        <v>24</v>
      </c>
      <c r="I3">
        <f>91*(1023-I2)/I2</f>
        <v>25.395348837209308</v>
      </c>
    </row>
    <row r="4" spans="1:9" x14ac:dyDescent="0.2">
      <c r="A4" s="8">
        <v>46310</v>
      </c>
      <c r="B4" s="9">
        <v>0.59775462962962966</v>
      </c>
      <c r="C4" s="6">
        <v>2.7695310000000002</v>
      </c>
      <c r="D4" s="11">
        <v>803</v>
      </c>
      <c r="E4" s="11" t="s">
        <v>24</v>
      </c>
      <c r="F4" s="11" t="s">
        <v>24</v>
      </c>
      <c r="G4" s="11" t="s">
        <v>24</v>
      </c>
    </row>
    <row r="5" spans="1:9" x14ac:dyDescent="0.2">
      <c r="A5" s="8">
        <v>46310</v>
      </c>
      <c r="B5" s="9">
        <v>0.59775462962962966</v>
      </c>
      <c r="C5" s="6">
        <v>3.3007810000000002</v>
      </c>
      <c r="D5" s="11">
        <v>802</v>
      </c>
      <c r="E5" s="11" t="s">
        <v>25</v>
      </c>
      <c r="F5" s="10">
        <v>0.53</v>
      </c>
      <c r="G5" s="11" t="s">
        <v>26</v>
      </c>
    </row>
    <row r="6" spans="1:9" x14ac:dyDescent="0.2">
      <c r="A6" s="8">
        <v>46310</v>
      </c>
      <c r="B6" s="9">
        <v>0.5977662037037037</v>
      </c>
      <c r="C6" s="6">
        <v>3.8164060000000002</v>
      </c>
      <c r="D6" s="11">
        <v>803</v>
      </c>
      <c r="E6" s="11" t="s">
        <v>24</v>
      </c>
      <c r="F6" s="11" t="s">
        <v>24</v>
      </c>
      <c r="G6" s="11" t="s">
        <v>24</v>
      </c>
    </row>
    <row r="7" spans="1:9" x14ac:dyDescent="0.2">
      <c r="A7" s="8">
        <v>46310</v>
      </c>
      <c r="B7" s="9">
        <v>0.5977662037037037</v>
      </c>
      <c r="C7" s="6">
        <v>4.3164059999999997</v>
      </c>
      <c r="D7" s="11">
        <v>800</v>
      </c>
      <c r="E7" s="11" t="s">
        <v>24</v>
      </c>
      <c r="F7" s="11" t="s">
        <v>24</v>
      </c>
      <c r="G7" s="11" t="s">
        <v>24</v>
      </c>
    </row>
    <row r="8" spans="1:9" x14ac:dyDescent="0.2">
      <c r="A8" s="8">
        <v>46310</v>
      </c>
      <c r="B8" s="9">
        <v>0.59777777777777774</v>
      </c>
      <c r="C8" s="6">
        <v>4.8164059999999997</v>
      </c>
      <c r="D8" s="11">
        <v>799</v>
      </c>
      <c r="E8" s="11" t="s">
        <v>24</v>
      </c>
      <c r="F8" s="11" t="s">
        <v>24</v>
      </c>
      <c r="G8" s="11" t="s">
        <v>24</v>
      </c>
    </row>
    <row r="9" spans="1:9" x14ac:dyDescent="0.2">
      <c r="A9" s="8">
        <v>46310</v>
      </c>
      <c r="B9" s="9">
        <v>0.59777777777777774</v>
      </c>
      <c r="C9" s="6">
        <v>5.3164059999999997</v>
      </c>
      <c r="D9" s="11">
        <v>799</v>
      </c>
      <c r="E9" s="11" t="s">
        <v>24</v>
      </c>
      <c r="F9" s="11" t="s">
        <v>24</v>
      </c>
      <c r="G9" s="11" t="s">
        <v>24</v>
      </c>
    </row>
    <row r="10" spans="1:9" x14ac:dyDescent="0.2">
      <c r="A10" s="8">
        <v>46310</v>
      </c>
      <c r="B10" s="9">
        <v>0.59778935185185189</v>
      </c>
      <c r="C10" s="6">
        <v>6.3320309999999997</v>
      </c>
      <c r="D10" s="11">
        <v>800</v>
      </c>
      <c r="E10" s="11" t="s">
        <v>27</v>
      </c>
      <c r="F10" s="11" t="s">
        <v>27</v>
      </c>
      <c r="G10" s="11">
        <v>-237</v>
      </c>
    </row>
    <row r="11" spans="1:9" x14ac:dyDescent="0.2">
      <c r="A11" s="8">
        <v>46310</v>
      </c>
      <c r="B11" s="9">
        <v>0.59780092592592593</v>
      </c>
      <c r="C11" s="6">
        <v>6.8632809999999997</v>
      </c>
      <c r="D11" s="11">
        <v>798</v>
      </c>
      <c r="E11" s="11" t="s">
        <v>27</v>
      </c>
      <c r="F11" s="11" t="s">
        <v>27</v>
      </c>
      <c r="G11" s="11">
        <v>4112</v>
      </c>
    </row>
    <row r="12" spans="1:9" x14ac:dyDescent="0.2">
      <c r="A12" s="8">
        <v>46310</v>
      </c>
      <c r="B12" s="9">
        <v>0.59780092592592593</v>
      </c>
      <c r="C12" s="6">
        <v>7.3945309999999997</v>
      </c>
      <c r="D12" s="11">
        <v>798</v>
      </c>
      <c r="E12" s="11" t="s">
        <v>25</v>
      </c>
      <c r="F12" s="10">
        <v>0.53</v>
      </c>
      <c r="G12" s="11" t="s">
        <v>26</v>
      </c>
    </row>
    <row r="13" spans="1:9" x14ac:dyDescent="0.2">
      <c r="A13" s="8">
        <v>46310</v>
      </c>
      <c r="B13" s="9">
        <v>0.59781249999999997</v>
      </c>
      <c r="C13" s="6">
        <v>7.9257809999999997</v>
      </c>
      <c r="D13" s="11">
        <v>798</v>
      </c>
      <c r="E13" s="11" t="s">
        <v>24</v>
      </c>
      <c r="F13" s="11" t="s">
        <v>24</v>
      </c>
      <c r="G13" s="11" t="s">
        <v>24</v>
      </c>
    </row>
    <row r="14" spans="1:9" x14ac:dyDescent="0.2">
      <c r="A14" s="8">
        <v>46310</v>
      </c>
      <c r="B14" s="9">
        <v>0.59781249999999997</v>
      </c>
      <c r="C14" s="6">
        <v>8.4257810000000006</v>
      </c>
      <c r="D14" s="11">
        <v>798</v>
      </c>
      <c r="E14" s="11" t="s">
        <v>24</v>
      </c>
      <c r="F14" s="11" t="s">
        <v>24</v>
      </c>
      <c r="G14" s="11" t="s">
        <v>24</v>
      </c>
    </row>
    <row r="15" spans="1:9" x14ac:dyDescent="0.2">
      <c r="A15" s="8">
        <v>46310</v>
      </c>
      <c r="B15" s="9">
        <v>0.59782407407407412</v>
      </c>
      <c r="C15" s="6">
        <v>8.9257810000000006</v>
      </c>
      <c r="D15" s="11">
        <v>798</v>
      </c>
      <c r="E15" s="11" t="s">
        <v>24</v>
      </c>
      <c r="F15" s="11" t="s">
        <v>24</v>
      </c>
      <c r="G15" s="11" t="s">
        <v>24</v>
      </c>
    </row>
    <row r="16" spans="1:9" x14ac:dyDescent="0.2">
      <c r="A16" s="8">
        <v>46310</v>
      </c>
      <c r="B16" s="9">
        <v>0.59782407407407412</v>
      </c>
      <c r="C16" s="6">
        <v>9.4257810000000006</v>
      </c>
      <c r="D16" s="11">
        <v>797</v>
      </c>
      <c r="E16" s="11" t="s">
        <v>24</v>
      </c>
      <c r="F16" s="11" t="s">
        <v>24</v>
      </c>
      <c r="G16" s="11" t="s">
        <v>24</v>
      </c>
    </row>
    <row r="17" spans="1:7" x14ac:dyDescent="0.2">
      <c r="A17" s="8">
        <v>46310</v>
      </c>
      <c r="B17" s="9">
        <v>0.59783564814814816</v>
      </c>
      <c r="C17" s="6">
        <v>9.9414060000000006</v>
      </c>
      <c r="D17" s="11">
        <v>798</v>
      </c>
      <c r="E17" s="11" t="s">
        <v>25</v>
      </c>
      <c r="F17" s="10">
        <v>0.53</v>
      </c>
      <c r="G17" s="11" t="s">
        <v>26</v>
      </c>
    </row>
    <row r="18" spans="1:7" x14ac:dyDescent="0.2">
      <c r="A18" s="8">
        <v>46310</v>
      </c>
      <c r="B18" s="9">
        <v>0.59783564814814816</v>
      </c>
      <c r="C18" s="6">
        <v>10.472659999999999</v>
      </c>
      <c r="D18" s="11">
        <v>798</v>
      </c>
      <c r="E18" s="11" t="s">
        <v>24</v>
      </c>
      <c r="F18" s="11" t="s">
        <v>24</v>
      </c>
      <c r="G18" s="11" t="s">
        <v>24</v>
      </c>
    </row>
    <row r="19" spans="1:7" x14ac:dyDescent="0.2">
      <c r="A19" s="8">
        <v>46310</v>
      </c>
      <c r="B19" s="9">
        <v>0.5978472222222222</v>
      </c>
      <c r="C19" s="6">
        <v>10.96875</v>
      </c>
      <c r="D19" s="11">
        <v>798</v>
      </c>
      <c r="E19" s="11" t="s">
        <v>24</v>
      </c>
      <c r="F19" s="11" t="s">
        <v>24</v>
      </c>
      <c r="G19" s="11" t="s">
        <v>24</v>
      </c>
    </row>
    <row r="20" spans="1:7" x14ac:dyDescent="0.2">
      <c r="A20" s="8">
        <v>46310</v>
      </c>
      <c r="B20" s="9">
        <v>0.5978472222222222</v>
      </c>
      <c r="C20" s="6">
        <v>11.46875</v>
      </c>
      <c r="D20" s="11">
        <v>800</v>
      </c>
      <c r="E20" s="11" t="s">
        <v>24</v>
      </c>
      <c r="F20" s="11" t="s">
        <v>24</v>
      </c>
      <c r="G20" s="11" t="s">
        <v>24</v>
      </c>
    </row>
    <row r="21" spans="1:7" x14ac:dyDescent="0.2">
      <c r="A21" s="8">
        <v>46310</v>
      </c>
      <c r="B21" s="9">
        <v>0.59785879629629635</v>
      </c>
      <c r="C21" s="6">
        <v>11.96875</v>
      </c>
      <c r="D21" s="11">
        <v>799</v>
      </c>
      <c r="E21" s="11" t="s">
        <v>24</v>
      </c>
      <c r="F21" s="11" t="s">
        <v>24</v>
      </c>
      <c r="G21" s="11" t="s">
        <v>24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5A738-18BB-4628-ABF5-8DA4A1E67DE4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0.59590277777777778</v>
      </c>
      <c r="C2" s="6">
        <v>1.8125</v>
      </c>
      <c r="D2" s="4">
        <v>801</v>
      </c>
      <c r="E2" s="4" t="s">
        <v>24</v>
      </c>
      <c r="F2" s="4" t="s">
        <v>24</v>
      </c>
      <c r="G2" s="4" t="s">
        <v>24</v>
      </c>
      <c r="I2">
        <f>AVERAGE(D2:D21)</f>
        <v>791.15</v>
      </c>
    </row>
    <row r="3" spans="1:9" x14ac:dyDescent="0.2">
      <c r="A3" s="8">
        <v>46310</v>
      </c>
      <c r="B3" s="9">
        <v>0.59591435185185182</v>
      </c>
      <c r="C3" s="6">
        <v>2.28125</v>
      </c>
      <c r="D3" s="4">
        <v>797</v>
      </c>
      <c r="E3" s="4" t="s">
        <v>24</v>
      </c>
      <c r="F3" s="4" t="s">
        <v>24</v>
      </c>
      <c r="G3" s="4" t="s">
        <v>24</v>
      </c>
      <c r="I3">
        <f>91*(1023-I2)/I2</f>
        <v>26.667951715856667</v>
      </c>
    </row>
    <row r="4" spans="1:9" x14ac:dyDescent="0.2">
      <c r="A4" s="8">
        <v>46310</v>
      </c>
      <c r="B4" s="9">
        <v>0.59591435185185182</v>
      </c>
      <c r="C4" s="6">
        <v>2.78125</v>
      </c>
      <c r="D4" s="4">
        <v>797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0.59592592592592597</v>
      </c>
      <c r="C5" s="6">
        <v>3.296875</v>
      </c>
      <c r="D5" s="4">
        <v>796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46310</v>
      </c>
      <c r="B6" s="9">
        <v>0.59592592592592597</v>
      </c>
      <c r="C6" s="6">
        <v>3.828125</v>
      </c>
      <c r="D6" s="4">
        <v>793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0.59593750000000001</v>
      </c>
      <c r="C7" s="6">
        <v>4.328125</v>
      </c>
      <c r="D7" s="4">
        <v>793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0.59593750000000001</v>
      </c>
      <c r="C8" s="6">
        <v>4.828125</v>
      </c>
      <c r="D8" s="4">
        <v>790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0.59594907407407405</v>
      </c>
      <c r="C9" s="6">
        <v>5.328125</v>
      </c>
      <c r="D9" s="4">
        <v>790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0.59594907407407405</v>
      </c>
      <c r="C10" s="6">
        <v>5.8398440000000003</v>
      </c>
      <c r="D10" s="4">
        <v>792</v>
      </c>
      <c r="E10" s="4" t="s">
        <v>25</v>
      </c>
      <c r="F10" s="10">
        <v>0.53</v>
      </c>
      <c r="G10" s="4" t="s">
        <v>26</v>
      </c>
    </row>
    <row r="11" spans="1:9" x14ac:dyDescent="0.2">
      <c r="A11" s="8">
        <v>46310</v>
      </c>
      <c r="B11" s="9">
        <v>0.5959606481481482</v>
      </c>
      <c r="C11" s="6">
        <v>6.3710940000000003</v>
      </c>
      <c r="D11" s="4">
        <v>790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46310</v>
      </c>
      <c r="B12" s="9">
        <v>0.5959606481481482</v>
      </c>
      <c r="C12" s="6">
        <v>6.8710940000000003</v>
      </c>
      <c r="D12" s="4">
        <v>790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46310</v>
      </c>
      <c r="B13" s="9">
        <v>0.59597222222222224</v>
      </c>
      <c r="C13" s="6">
        <v>7.3710940000000003</v>
      </c>
      <c r="D13" s="4">
        <v>788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0.59597222222222224</v>
      </c>
      <c r="C14" s="6">
        <v>7.8710940000000003</v>
      </c>
      <c r="D14" s="4">
        <v>788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0.59598379629629628</v>
      </c>
      <c r="C15" s="6">
        <v>8.3867189999999994</v>
      </c>
      <c r="D15" s="4">
        <v>790</v>
      </c>
      <c r="E15" s="4" t="s">
        <v>25</v>
      </c>
      <c r="F15" s="10">
        <v>0.53</v>
      </c>
      <c r="G15" s="4" t="s">
        <v>26</v>
      </c>
    </row>
    <row r="16" spans="1:9" x14ac:dyDescent="0.2">
      <c r="A16" s="8">
        <v>46310</v>
      </c>
      <c r="B16" s="9">
        <v>0.59598379629629628</v>
      </c>
      <c r="C16" s="6">
        <v>8.9023439999999994</v>
      </c>
      <c r="D16" s="4">
        <v>786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0.59599537037037043</v>
      </c>
      <c r="C17" s="6">
        <v>9.4179689999999994</v>
      </c>
      <c r="D17" s="4">
        <v>787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0.59599537037037043</v>
      </c>
      <c r="C18" s="6">
        <v>9.9179689999999994</v>
      </c>
      <c r="D18" s="4">
        <v>789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0.59600694444444446</v>
      </c>
      <c r="C19" s="6">
        <v>10.41797</v>
      </c>
      <c r="D19" s="4">
        <v>788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0.59600694444444446</v>
      </c>
      <c r="C20" s="6">
        <v>10.933590000000001</v>
      </c>
      <c r="D20" s="4">
        <v>789</v>
      </c>
      <c r="E20" s="4" t="s">
        <v>25</v>
      </c>
      <c r="F20" s="10">
        <v>0.53</v>
      </c>
      <c r="G20" s="4" t="s">
        <v>26</v>
      </c>
    </row>
    <row r="21" spans="1:7" x14ac:dyDescent="0.2">
      <c r="A21" s="8">
        <v>46310</v>
      </c>
      <c r="B21" s="9">
        <v>0.5960185185185185</v>
      </c>
      <c r="C21" s="6">
        <v>11.44922</v>
      </c>
      <c r="D21" s="4">
        <v>789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32198-4B3F-44EC-8E19-9BAD8E927051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0.59311342592592597</v>
      </c>
      <c r="C2" s="6">
        <v>1.8125</v>
      </c>
      <c r="D2" s="4">
        <v>795</v>
      </c>
      <c r="E2" s="4" t="s">
        <v>24</v>
      </c>
      <c r="F2" s="4" t="s">
        <v>24</v>
      </c>
      <c r="G2" s="4" t="s">
        <v>24</v>
      </c>
      <c r="I2">
        <f>AVERAGE(D2:D21)</f>
        <v>796.4</v>
      </c>
    </row>
    <row r="3" spans="1:9" x14ac:dyDescent="0.2">
      <c r="A3" s="8">
        <v>46310</v>
      </c>
      <c r="B3" s="9">
        <v>0.59311342592592597</v>
      </c>
      <c r="C3" s="6">
        <v>2.28125</v>
      </c>
      <c r="D3" s="4">
        <v>796</v>
      </c>
      <c r="E3" s="4" t="s">
        <v>24</v>
      </c>
      <c r="F3" s="4" t="s">
        <v>24</v>
      </c>
      <c r="G3" s="4" t="s">
        <v>24</v>
      </c>
      <c r="I3">
        <f>91*(1023-I2)/I2</f>
        <v>25.892265193370168</v>
      </c>
    </row>
    <row r="4" spans="1:9" x14ac:dyDescent="0.2">
      <c r="A4" s="8">
        <v>46310</v>
      </c>
      <c r="B4" s="9">
        <v>0.59312500000000001</v>
      </c>
      <c r="C4" s="6">
        <v>2.78125</v>
      </c>
      <c r="D4" s="4">
        <v>796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0.59312500000000001</v>
      </c>
      <c r="C5" s="6">
        <v>3.3125</v>
      </c>
      <c r="D5" s="4">
        <v>796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46310</v>
      </c>
      <c r="B6" s="9">
        <v>0.59313657407407405</v>
      </c>
      <c r="C6" s="6">
        <v>3.8242189999999998</v>
      </c>
      <c r="D6" s="4">
        <v>796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0.59313657407407405</v>
      </c>
      <c r="C7" s="6">
        <v>4.3242190000000003</v>
      </c>
      <c r="D7" s="4">
        <v>796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0.5931481481481482</v>
      </c>
      <c r="C8" s="6">
        <v>4.8242190000000003</v>
      </c>
      <c r="D8" s="4">
        <v>795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0.5931481481481482</v>
      </c>
      <c r="C9" s="6">
        <v>5.3242190000000003</v>
      </c>
      <c r="D9" s="4">
        <v>797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0.59315972222222224</v>
      </c>
      <c r="C10" s="6">
        <v>6.3398440000000003</v>
      </c>
      <c r="D10" s="4">
        <v>797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46310</v>
      </c>
      <c r="B11" s="9">
        <v>0.59317129629629628</v>
      </c>
      <c r="C11" s="6">
        <v>6.8710940000000003</v>
      </c>
      <c r="D11" s="4">
        <v>796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46310</v>
      </c>
      <c r="B12" s="9">
        <v>0.59318287037037032</v>
      </c>
      <c r="C12" s="6">
        <v>7.4023440000000003</v>
      </c>
      <c r="D12" s="4">
        <v>797</v>
      </c>
      <c r="E12" s="4" t="s">
        <v>25</v>
      </c>
      <c r="F12" s="10">
        <v>0.53</v>
      </c>
      <c r="G12" s="4" t="s">
        <v>26</v>
      </c>
    </row>
    <row r="13" spans="1:9" x14ac:dyDescent="0.2">
      <c r="A13" s="8">
        <v>46310</v>
      </c>
      <c r="B13" s="9">
        <v>0.59318287037037032</v>
      </c>
      <c r="C13" s="6">
        <v>7.9335940000000003</v>
      </c>
      <c r="D13" s="4">
        <v>796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0.59319444444444447</v>
      </c>
      <c r="C14" s="6">
        <v>8.4335939999999994</v>
      </c>
      <c r="D14" s="4">
        <v>796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0.59319444444444447</v>
      </c>
      <c r="C15" s="6">
        <v>8.9335939999999994</v>
      </c>
      <c r="D15" s="4">
        <v>796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46310</v>
      </c>
      <c r="B16" s="9">
        <v>0.59320601851851851</v>
      </c>
      <c r="C16" s="6">
        <v>9.4335939999999994</v>
      </c>
      <c r="D16" s="4">
        <v>796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0.59321759259259255</v>
      </c>
      <c r="C17" s="6">
        <v>10.44922</v>
      </c>
      <c r="D17" s="4">
        <v>796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46310</v>
      </c>
      <c r="B18" s="9">
        <v>0.59321759259259255</v>
      </c>
      <c r="C18" s="6">
        <v>10.964840000000001</v>
      </c>
      <c r="D18" s="4">
        <v>798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46310</v>
      </c>
      <c r="B19" s="9">
        <v>0.5932291666666667</v>
      </c>
      <c r="C19" s="6">
        <v>12.01172</v>
      </c>
      <c r="D19" s="4">
        <v>798</v>
      </c>
      <c r="E19" s="4" t="s">
        <v>27</v>
      </c>
      <c r="F19" s="4" t="s">
        <v>27</v>
      </c>
      <c r="G19" s="4">
        <v>-237</v>
      </c>
    </row>
    <row r="20" spans="1:7" x14ac:dyDescent="0.2">
      <c r="A20" s="8">
        <v>46310</v>
      </c>
      <c r="B20" s="9">
        <v>0.59324074074074074</v>
      </c>
      <c r="C20" s="6">
        <v>12.527340000000001</v>
      </c>
      <c r="D20" s="4">
        <v>798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46310</v>
      </c>
      <c r="B21" s="9">
        <v>0.59324074074074074</v>
      </c>
      <c r="C21" s="6">
        <v>13.07422</v>
      </c>
      <c r="D21" s="4">
        <v>797</v>
      </c>
      <c r="E21" s="4" t="s">
        <v>25</v>
      </c>
      <c r="F21" s="10">
        <v>0.53</v>
      </c>
      <c r="G21" s="4" t="s">
        <v>26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1783-1888-497F-A27A-D5184B39F26B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0.60047453703703701</v>
      </c>
      <c r="C2" s="6">
        <v>1.796875</v>
      </c>
      <c r="D2" s="4">
        <v>592</v>
      </c>
      <c r="E2" s="4" t="s">
        <v>24</v>
      </c>
      <c r="F2" s="4" t="s">
        <v>24</v>
      </c>
      <c r="G2" s="4" t="s">
        <v>24</v>
      </c>
      <c r="I2">
        <f>AVERAGE(D2:D21)</f>
        <v>592.29999999999995</v>
      </c>
    </row>
    <row r="3" spans="1:9" x14ac:dyDescent="0.2">
      <c r="A3" s="8">
        <v>46310</v>
      </c>
      <c r="B3" s="9">
        <v>0.60048611111111116</v>
      </c>
      <c r="C3" s="6">
        <v>2.28125</v>
      </c>
      <c r="D3" s="4">
        <v>594</v>
      </c>
      <c r="E3" s="4" t="s">
        <v>24</v>
      </c>
      <c r="F3" s="4" t="s">
        <v>24</v>
      </c>
      <c r="G3" s="4" t="s">
        <v>24</v>
      </c>
      <c r="I3">
        <f>91*(1023-I2)/I2</f>
        <v>66.172041195340213</v>
      </c>
    </row>
    <row r="4" spans="1:9" x14ac:dyDescent="0.2">
      <c r="A4" s="8">
        <v>46310</v>
      </c>
      <c r="B4" s="9">
        <v>0.60048611111111116</v>
      </c>
      <c r="C4" s="6">
        <v>2.78125</v>
      </c>
      <c r="D4" s="4">
        <v>593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0.6004976851851852</v>
      </c>
      <c r="C5" s="6">
        <v>3.296875</v>
      </c>
      <c r="D5" s="4">
        <v>592</v>
      </c>
      <c r="E5" s="4" t="s">
        <v>25</v>
      </c>
      <c r="F5" s="10">
        <v>0.55000000000000004</v>
      </c>
      <c r="G5" s="4" t="s">
        <v>26</v>
      </c>
    </row>
    <row r="6" spans="1:9" x14ac:dyDescent="0.2">
      <c r="A6" s="8">
        <v>46310</v>
      </c>
      <c r="B6" s="9">
        <v>0.6004976851851852</v>
      </c>
      <c r="C6" s="6">
        <v>3.8125</v>
      </c>
      <c r="D6" s="4">
        <v>589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0.60050925925925924</v>
      </c>
      <c r="C7" s="6">
        <v>4.3203129999999996</v>
      </c>
      <c r="D7" s="4">
        <v>593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0.60050925925925924</v>
      </c>
      <c r="C8" s="6">
        <v>4.8203129999999996</v>
      </c>
      <c r="D8" s="4">
        <v>594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0.60052083333333328</v>
      </c>
      <c r="C9" s="6">
        <v>5.3203129999999996</v>
      </c>
      <c r="D9" s="4">
        <v>594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0.60052083333333328</v>
      </c>
      <c r="C10" s="6">
        <v>5.8359379999999996</v>
      </c>
      <c r="D10" s="4">
        <v>592</v>
      </c>
      <c r="E10" s="4" t="s">
        <v>25</v>
      </c>
      <c r="F10" s="10">
        <v>0.55000000000000004</v>
      </c>
      <c r="G10" s="4" t="s">
        <v>26</v>
      </c>
    </row>
    <row r="11" spans="1:9" x14ac:dyDescent="0.2">
      <c r="A11" s="8">
        <v>46310</v>
      </c>
      <c r="B11" s="9">
        <v>0.60053240740740743</v>
      </c>
      <c r="C11" s="6">
        <v>6.3671879999999996</v>
      </c>
      <c r="D11" s="4">
        <v>592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46310</v>
      </c>
      <c r="B12" s="9">
        <v>0.60053240740740743</v>
      </c>
      <c r="C12" s="6">
        <v>6.8671879999999996</v>
      </c>
      <c r="D12" s="4">
        <v>592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46310</v>
      </c>
      <c r="B13" s="9">
        <v>0.60054398148148147</v>
      </c>
      <c r="C13" s="6">
        <v>7.3671879999999996</v>
      </c>
      <c r="D13" s="4">
        <v>593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0.60054398148148147</v>
      </c>
      <c r="C14" s="6">
        <v>7.8671879999999996</v>
      </c>
      <c r="D14" s="4">
        <v>591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0.60055555555555551</v>
      </c>
      <c r="C15" s="6">
        <v>8.8789060000000006</v>
      </c>
      <c r="D15" s="4">
        <v>595</v>
      </c>
      <c r="E15" s="4" t="s">
        <v>27</v>
      </c>
      <c r="F15" s="4" t="s">
        <v>27</v>
      </c>
      <c r="G15" s="4">
        <v>-237</v>
      </c>
    </row>
    <row r="16" spans="1:9" x14ac:dyDescent="0.2">
      <c r="A16" s="8">
        <v>46310</v>
      </c>
      <c r="B16" s="9">
        <v>0.60056712962962966</v>
      </c>
      <c r="C16" s="6">
        <v>9.3945310000000006</v>
      </c>
      <c r="D16" s="4">
        <v>591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46310</v>
      </c>
      <c r="B17" s="9">
        <v>0.60056712962962966</v>
      </c>
      <c r="C17" s="6">
        <v>9.9414060000000006</v>
      </c>
      <c r="D17" s="4">
        <v>595</v>
      </c>
      <c r="E17" s="4" t="s">
        <v>25</v>
      </c>
      <c r="F17" s="10">
        <v>0.55000000000000004</v>
      </c>
      <c r="G17" s="4" t="s">
        <v>26</v>
      </c>
    </row>
    <row r="18" spans="1:7" x14ac:dyDescent="0.2">
      <c r="A18" s="8">
        <v>46310</v>
      </c>
      <c r="B18" s="9">
        <v>0.6005787037037037</v>
      </c>
      <c r="C18" s="6">
        <v>10.45703</v>
      </c>
      <c r="D18" s="4">
        <v>590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0.6005787037037037</v>
      </c>
      <c r="C19" s="6">
        <v>10.95703</v>
      </c>
      <c r="D19" s="4">
        <v>590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0.60059027777777774</v>
      </c>
      <c r="C20" s="6">
        <v>11.472659999999999</v>
      </c>
      <c r="D20" s="4">
        <v>593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46310</v>
      </c>
      <c r="B21" s="9">
        <v>0.60059027777777774</v>
      </c>
      <c r="C21" s="6">
        <v>11.972659999999999</v>
      </c>
      <c r="D21" s="4">
        <v>591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5DE49-CFD4-40C9-9D3D-A3079FE5B54D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0.6030092592592593</v>
      </c>
      <c r="C2" s="6">
        <v>1.8125</v>
      </c>
      <c r="D2" s="4">
        <v>621</v>
      </c>
      <c r="E2" s="4" t="s">
        <v>24</v>
      </c>
      <c r="F2" s="4" t="s">
        <v>24</v>
      </c>
      <c r="G2" s="4" t="s">
        <v>24</v>
      </c>
      <c r="I2">
        <f>AVERAGE(D2:D21)</f>
        <v>614.5</v>
      </c>
    </row>
    <row r="3" spans="1:9" x14ac:dyDescent="0.2">
      <c r="A3" s="8">
        <v>46310</v>
      </c>
      <c r="B3" s="9">
        <v>0.6030092592592593</v>
      </c>
      <c r="C3" s="6">
        <v>2.28125</v>
      </c>
      <c r="D3" s="4">
        <v>618</v>
      </c>
      <c r="E3" s="4" t="s">
        <v>24</v>
      </c>
      <c r="F3" s="4" t="s">
        <v>24</v>
      </c>
      <c r="G3" s="4" t="s">
        <v>24</v>
      </c>
      <c r="I3">
        <f>91*(1023-I2)/I2</f>
        <v>60.493897477624081</v>
      </c>
    </row>
    <row r="4" spans="1:9" x14ac:dyDescent="0.2">
      <c r="A4" s="8">
        <v>46310</v>
      </c>
      <c r="B4" s="9">
        <v>0.60302083333333334</v>
      </c>
      <c r="C4" s="6">
        <v>2.796875</v>
      </c>
      <c r="D4" s="4">
        <v>619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0.60302083333333334</v>
      </c>
      <c r="C5" s="6">
        <v>3.3125</v>
      </c>
      <c r="D5" s="4">
        <v>614</v>
      </c>
      <c r="E5" s="4" t="s">
        <v>25</v>
      </c>
      <c r="F5" s="10">
        <v>0.54</v>
      </c>
      <c r="G5" s="4" t="s">
        <v>26</v>
      </c>
    </row>
    <row r="6" spans="1:9" x14ac:dyDescent="0.2">
      <c r="A6" s="8">
        <v>46310</v>
      </c>
      <c r="B6" s="9">
        <v>0.60303240740740738</v>
      </c>
      <c r="C6" s="6">
        <v>3.828125</v>
      </c>
      <c r="D6" s="4">
        <v>619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0.60303240740740738</v>
      </c>
      <c r="C7" s="6">
        <v>4.328125</v>
      </c>
      <c r="D7" s="4">
        <v>619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0.60304398148148153</v>
      </c>
      <c r="C8" s="6">
        <v>4.828125</v>
      </c>
      <c r="D8" s="4">
        <v>613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0.60304398148148153</v>
      </c>
      <c r="C9" s="6">
        <v>5.328125</v>
      </c>
      <c r="D9" s="4">
        <v>613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0.60305555555555557</v>
      </c>
      <c r="C10" s="6">
        <v>6.34375</v>
      </c>
      <c r="D10" s="4">
        <v>614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46310</v>
      </c>
      <c r="B11" s="9">
        <v>0.60306712962962961</v>
      </c>
      <c r="C11" s="6">
        <v>6.875</v>
      </c>
      <c r="D11" s="4">
        <v>615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46310</v>
      </c>
      <c r="B12" s="9">
        <v>0.60307870370370376</v>
      </c>
      <c r="C12" s="6">
        <v>7.90625</v>
      </c>
      <c r="D12" s="4">
        <v>611</v>
      </c>
      <c r="E12" s="4" t="s">
        <v>27</v>
      </c>
      <c r="F12" s="4" t="s">
        <v>27</v>
      </c>
      <c r="G12" s="4">
        <v>-237</v>
      </c>
    </row>
    <row r="13" spans="1:9" x14ac:dyDescent="0.2">
      <c r="A13" s="8">
        <v>46310</v>
      </c>
      <c r="B13" s="9">
        <v>0.60307870370370376</v>
      </c>
      <c r="C13" s="6">
        <v>8.4375</v>
      </c>
      <c r="D13" s="4">
        <v>611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46310</v>
      </c>
      <c r="B14" s="9">
        <v>0.60309027777777779</v>
      </c>
      <c r="C14" s="6">
        <v>8.96875</v>
      </c>
      <c r="D14" s="4">
        <v>614</v>
      </c>
      <c r="E14" s="4" t="s">
        <v>25</v>
      </c>
      <c r="F14" s="10">
        <v>0.54</v>
      </c>
      <c r="G14" s="4" t="s">
        <v>26</v>
      </c>
    </row>
    <row r="15" spans="1:9" x14ac:dyDescent="0.2">
      <c r="A15" s="8">
        <v>46310</v>
      </c>
      <c r="B15" s="9">
        <v>0.60309027777777779</v>
      </c>
      <c r="C15" s="6">
        <v>9.4960939999999994</v>
      </c>
      <c r="D15" s="4">
        <v>615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46310</v>
      </c>
      <c r="B16" s="9">
        <v>0.60310185185185183</v>
      </c>
      <c r="C16" s="6">
        <v>9.9960939999999994</v>
      </c>
      <c r="D16" s="4">
        <v>613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0.60310185185185183</v>
      </c>
      <c r="C17" s="6">
        <v>10.496090000000001</v>
      </c>
      <c r="D17" s="4">
        <v>610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0.60311342592592587</v>
      </c>
      <c r="C18" s="6">
        <v>10.996090000000001</v>
      </c>
      <c r="D18" s="4">
        <v>614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0.60312500000000002</v>
      </c>
      <c r="C19" s="6">
        <v>12.01172</v>
      </c>
      <c r="D19" s="4">
        <v>612</v>
      </c>
      <c r="E19" s="4" t="s">
        <v>27</v>
      </c>
      <c r="F19" s="4" t="s">
        <v>27</v>
      </c>
      <c r="G19" s="4">
        <v>-237</v>
      </c>
    </row>
    <row r="20" spans="1:7" x14ac:dyDescent="0.2">
      <c r="A20" s="8">
        <v>46310</v>
      </c>
      <c r="B20" s="9">
        <v>0.60312500000000002</v>
      </c>
      <c r="C20" s="6">
        <v>12.54688</v>
      </c>
      <c r="D20" s="4">
        <v>610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46310</v>
      </c>
      <c r="B21" s="9">
        <v>0.60313657407407406</v>
      </c>
      <c r="C21" s="6">
        <v>13.57813</v>
      </c>
      <c r="D21" s="4">
        <v>615</v>
      </c>
      <c r="E21" s="4" t="s">
        <v>27</v>
      </c>
      <c r="F21" s="4" t="s">
        <v>27</v>
      </c>
      <c r="G21" s="4">
        <v>-237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55BE-6614-46B8-8E37-4A1DB631CB8C}">
  <dimension ref="A1:I22"/>
  <sheetViews>
    <sheetView workbookViewId="0">
      <selection activeCell="G27" sqref="G27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0.60444444444444445</v>
      </c>
      <c r="C2" s="6">
        <v>1.808594</v>
      </c>
      <c r="D2" s="4">
        <v>604</v>
      </c>
      <c r="E2" s="4" t="s">
        <v>24</v>
      </c>
      <c r="F2" s="4" t="s">
        <v>24</v>
      </c>
      <c r="G2" s="4" t="s">
        <v>24</v>
      </c>
      <c r="I2">
        <f>AVERAGE(D2:D21)</f>
        <v>598.4</v>
      </c>
    </row>
    <row r="3" spans="1:9" x14ac:dyDescent="0.2">
      <c r="A3" s="8">
        <v>46310</v>
      </c>
      <c r="B3" s="9">
        <v>0.60444444444444445</v>
      </c>
      <c r="C3" s="6">
        <v>2.2773439999999998</v>
      </c>
      <c r="D3" s="4">
        <v>605</v>
      </c>
      <c r="E3" s="4" t="s">
        <v>24</v>
      </c>
      <c r="F3" s="4" t="s">
        <v>24</v>
      </c>
      <c r="G3" s="4" t="s">
        <v>24</v>
      </c>
      <c r="I3">
        <f>91*(1023-I2)/I2</f>
        <v>64.569852941176464</v>
      </c>
    </row>
    <row r="4" spans="1:9" x14ac:dyDescent="0.2">
      <c r="A4" s="8">
        <v>46310</v>
      </c>
      <c r="B4" s="9">
        <v>0.60445601851851849</v>
      </c>
      <c r="C4" s="6">
        <v>2.7773439999999998</v>
      </c>
      <c r="D4" s="4">
        <v>605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0.60445601851851849</v>
      </c>
      <c r="C5" s="6">
        <v>3.2929689999999998</v>
      </c>
      <c r="D5" s="4">
        <v>600</v>
      </c>
      <c r="E5" s="4" t="s">
        <v>25</v>
      </c>
      <c r="F5" s="10">
        <v>0.54</v>
      </c>
      <c r="G5" s="4" t="s">
        <v>26</v>
      </c>
    </row>
    <row r="6" spans="1:9" x14ac:dyDescent="0.2">
      <c r="A6" s="8">
        <v>46310</v>
      </c>
      <c r="B6" s="9">
        <v>0.60446759259259264</v>
      </c>
      <c r="C6" s="6">
        <v>3.8242189999999998</v>
      </c>
      <c r="D6" s="4">
        <v>601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0.60446759259259264</v>
      </c>
      <c r="C7" s="6">
        <v>4.3242190000000003</v>
      </c>
      <c r="D7" s="4">
        <v>601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0.60447916666666668</v>
      </c>
      <c r="C8" s="6">
        <v>4.8242190000000003</v>
      </c>
      <c r="D8" s="4">
        <v>597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0.60447916666666668</v>
      </c>
      <c r="C9" s="6">
        <v>5.3242190000000003</v>
      </c>
      <c r="D9" s="4">
        <v>600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0.60449074074074072</v>
      </c>
      <c r="C10" s="6">
        <v>5.8398440000000003</v>
      </c>
      <c r="D10" s="4">
        <v>601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46310</v>
      </c>
      <c r="B11" s="9">
        <v>0.60449074074074072</v>
      </c>
      <c r="C11" s="6">
        <v>6.3710940000000003</v>
      </c>
      <c r="D11" s="4">
        <v>600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46310</v>
      </c>
      <c r="B12" s="9">
        <v>0.60450231481481487</v>
      </c>
      <c r="C12" s="6">
        <v>6.8867190000000003</v>
      </c>
      <c r="D12" s="4">
        <v>594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46310</v>
      </c>
      <c r="B13" s="9">
        <v>0.60451388888888891</v>
      </c>
      <c r="C13" s="6">
        <v>7.9179690000000003</v>
      </c>
      <c r="D13" s="4">
        <v>596</v>
      </c>
      <c r="E13" s="4" t="s">
        <v>27</v>
      </c>
      <c r="F13" s="4" t="s">
        <v>27</v>
      </c>
      <c r="G13" s="4">
        <v>-237</v>
      </c>
    </row>
    <row r="14" spans="1:9" x14ac:dyDescent="0.2">
      <c r="A14" s="8">
        <v>46310</v>
      </c>
      <c r="B14" s="9">
        <v>0.60451388888888891</v>
      </c>
      <c r="C14" s="6">
        <v>8.4492189999999994</v>
      </c>
      <c r="D14" s="4">
        <v>595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46310</v>
      </c>
      <c r="B15" s="9">
        <v>0.60453703703703698</v>
      </c>
      <c r="C15" s="6">
        <v>9.4804689999999994</v>
      </c>
      <c r="D15" s="4">
        <v>596</v>
      </c>
      <c r="E15" s="4" t="s">
        <v>27</v>
      </c>
      <c r="F15" s="4" t="s">
        <v>27</v>
      </c>
      <c r="G15" s="4">
        <v>-237</v>
      </c>
    </row>
    <row r="16" spans="1:9" x14ac:dyDescent="0.2">
      <c r="A16" s="8">
        <v>46310</v>
      </c>
      <c r="B16" s="9">
        <v>0.60453703703703698</v>
      </c>
      <c r="C16" s="6">
        <v>10.01172</v>
      </c>
      <c r="D16" s="4">
        <v>594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46310</v>
      </c>
      <c r="B17" s="9">
        <v>0.60454861111111113</v>
      </c>
      <c r="C17" s="6">
        <v>11.04297</v>
      </c>
      <c r="D17" s="4">
        <v>594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46310</v>
      </c>
      <c r="B18" s="9">
        <v>0.60456018518518517</v>
      </c>
      <c r="C18" s="6">
        <v>11.57422</v>
      </c>
      <c r="D18" s="4">
        <v>594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46310</v>
      </c>
      <c r="B19" s="9">
        <v>0.60456018518518517</v>
      </c>
      <c r="C19" s="6">
        <v>12.10547</v>
      </c>
      <c r="D19" s="4">
        <v>599</v>
      </c>
      <c r="E19" s="4" t="s">
        <v>25</v>
      </c>
      <c r="F19" s="10">
        <v>0.54</v>
      </c>
      <c r="G19" s="4" t="s">
        <v>26</v>
      </c>
    </row>
    <row r="20" spans="1:7" x14ac:dyDescent="0.2">
      <c r="A20" s="8">
        <v>46310</v>
      </c>
      <c r="B20" s="9">
        <v>0.60457175925925921</v>
      </c>
      <c r="C20" s="6">
        <v>12.617190000000001</v>
      </c>
      <c r="D20" s="4">
        <v>595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46310</v>
      </c>
      <c r="B21" s="9">
        <v>0.60457175925925921</v>
      </c>
      <c r="C21" s="6">
        <v>13.13672</v>
      </c>
      <c r="D21" s="4">
        <v>597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BE35B-1583-4EFA-BBDC-91BC58E9DA30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0.60695601851851855</v>
      </c>
      <c r="C2" s="6">
        <v>1.808594</v>
      </c>
      <c r="D2" s="4">
        <v>654</v>
      </c>
      <c r="E2" s="4" t="s">
        <v>24</v>
      </c>
      <c r="F2" s="4" t="s">
        <v>24</v>
      </c>
      <c r="G2" s="4" t="s">
        <v>24</v>
      </c>
      <c r="I2">
        <f>AVERAGE(D2:D21)</f>
        <v>653.9</v>
      </c>
    </row>
    <row r="3" spans="1:9" x14ac:dyDescent="0.2">
      <c r="A3" s="8">
        <v>46310</v>
      </c>
      <c r="B3" s="9">
        <v>0.60696759259259259</v>
      </c>
      <c r="C3" s="6">
        <v>2.2773439999999998</v>
      </c>
      <c r="D3" s="4">
        <v>651</v>
      </c>
      <c r="E3" s="4" t="s">
        <v>24</v>
      </c>
      <c r="F3" s="4" t="s">
        <v>24</v>
      </c>
      <c r="G3" s="4" t="s">
        <v>24</v>
      </c>
      <c r="I3">
        <f>91*(1023-I2)/I2</f>
        <v>51.365805168986086</v>
      </c>
    </row>
    <row r="4" spans="1:9" x14ac:dyDescent="0.2">
      <c r="A4" s="8">
        <v>46310</v>
      </c>
      <c r="B4" s="9">
        <v>0.60696759259259259</v>
      </c>
      <c r="C4" s="6">
        <v>2.7773439999999998</v>
      </c>
      <c r="D4" s="4">
        <v>653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0.60697916666666663</v>
      </c>
      <c r="C5" s="6">
        <v>3.2929689999999998</v>
      </c>
      <c r="D5" s="4">
        <v>652</v>
      </c>
      <c r="E5" s="4" t="s">
        <v>25</v>
      </c>
      <c r="F5" s="10">
        <v>0.52</v>
      </c>
      <c r="G5" s="4" t="s">
        <v>26</v>
      </c>
    </row>
    <row r="6" spans="1:9" x14ac:dyDescent="0.2">
      <c r="A6" s="8">
        <v>46310</v>
      </c>
      <c r="B6" s="9">
        <v>0.60697916666666663</v>
      </c>
      <c r="C6" s="6">
        <v>3.8242189999999998</v>
      </c>
      <c r="D6" s="4">
        <v>652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0.60699074074074078</v>
      </c>
      <c r="C7" s="6">
        <v>4.3242190000000003</v>
      </c>
      <c r="D7" s="4">
        <v>653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0.60699074074074078</v>
      </c>
      <c r="C8" s="6">
        <v>4.8242190000000003</v>
      </c>
      <c r="D8" s="4">
        <v>653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0.60700231481481481</v>
      </c>
      <c r="C9" s="6">
        <v>5.3242190000000003</v>
      </c>
      <c r="D9" s="4">
        <v>652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0.60700231481481481</v>
      </c>
      <c r="C10" s="6">
        <v>5.8398440000000003</v>
      </c>
      <c r="D10" s="4">
        <v>655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46310</v>
      </c>
      <c r="B11" s="9">
        <v>0.60701388888888885</v>
      </c>
      <c r="C11" s="6">
        <v>6.3710940000000003</v>
      </c>
      <c r="D11" s="4">
        <v>653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46310</v>
      </c>
      <c r="B12" s="9">
        <v>0.60701388888888885</v>
      </c>
      <c r="C12" s="6">
        <v>6.8710940000000003</v>
      </c>
      <c r="D12" s="4">
        <v>654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46310</v>
      </c>
      <c r="B13" s="9">
        <v>0.607025462962963</v>
      </c>
      <c r="C13" s="6">
        <v>7.3710940000000003</v>
      </c>
      <c r="D13" s="4">
        <v>655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0.607025462962963</v>
      </c>
      <c r="C14" s="6">
        <v>7.8710940000000003</v>
      </c>
      <c r="D14" s="4">
        <v>652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0.60703703703703704</v>
      </c>
      <c r="C15" s="6">
        <v>8.3867189999999994</v>
      </c>
      <c r="D15" s="4">
        <v>656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46310</v>
      </c>
      <c r="B16" s="9">
        <v>0.60703703703703704</v>
      </c>
      <c r="C16" s="6">
        <v>8.9023439999999994</v>
      </c>
      <c r="D16" s="4">
        <v>655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0.60704861111111108</v>
      </c>
      <c r="C17" s="6">
        <v>9.4023439999999994</v>
      </c>
      <c r="D17" s="4">
        <v>656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0.60704861111111108</v>
      </c>
      <c r="C18" s="6">
        <v>9.9179689999999994</v>
      </c>
      <c r="D18" s="4">
        <v>655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0.60706018518518523</v>
      </c>
      <c r="C19" s="6">
        <v>10.41797</v>
      </c>
      <c r="D19" s="4">
        <v>657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0.60706018518518523</v>
      </c>
      <c r="C20" s="6">
        <v>10.933590000000001</v>
      </c>
      <c r="D20" s="4">
        <v>656</v>
      </c>
      <c r="E20" s="4" t="s">
        <v>25</v>
      </c>
      <c r="F20" s="10">
        <v>0.52</v>
      </c>
      <c r="G20" s="4" t="s">
        <v>26</v>
      </c>
    </row>
    <row r="21" spans="1:7" x14ac:dyDescent="0.2">
      <c r="A21" s="8">
        <v>46310</v>
      </c>
      <c r="B21" s="9">
        <v>0.60707175925925927</v>
      </c>
      <c r="C21" s="6">
        <v>11.44922</v>
      </c>
      <c r="D21" s="4">
        <v>654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44C22-1B11-4340-AFE7-6E5B6BEEF0B4}">
  <dimension ref="A1:I50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0.6080902777777778</v>
      </c>
      <c r="C2" s="6">
        <v>1.796875</v>
      </c>
      <c r="D2" s="4">
        <v>590</v>
      </c>
      <c r="E2" s="4" t="s">
        <v>24</v>
      </c>
      <c r="F2" s="4" t="s">
        <v>24</v>
      </c>
      <c r="G2" s="4" t="s">
        <v>24</v>
      </c>
      <c r="I2">
        <f>AVERAGE(D2:D21)</f>
        <v>591.1</v>
      </c>
    </row>
    <row r="3" spans="1:9" x14ac:dyDescent="0.2">
      <c r="A3" s="8">
        <v>46310</v>
      </c>
      <c r="B3" s="9">
        <v>0.6080902777777778</v>
      </c>
      <c r="C3" s="6">
        <v>2.265625</v>
      </c>
      <c r="D3" s="4">
        <v>591</v>
      </c>
      <c r="E3" s="4" t="s">
        <v>24</v>
      </c>
      <c r="F3" s="4" t="s">
        <v>24</v>
      </c>
      <c r="G3" s="4" t="s">
        <v>24</v>
      </c>
      <c r="I3">
        <f>91*(1023-I2)/I2</f>
        <v>66.491118254102517</v>
      </c>
    </row>
    <row r="4" spans="1:9" x14ac:dyDescent="0.2">
      <c r="A4" s="8">
        <v>46310</v>
      </c>
      <c r="B4" s="9">
        <v>0.60810185185185184</v>
      </c>
      <c r="C4" s="6">
        <v>2.78125</v>
      </c>
      <c r="D4" s="4">
        <v>591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0.60810185185185184</v>
      </c>
      <c r="C5" s="6">
        <v>3.28125</v>
      </c>
      <c r="D5" s="4">
        <v>589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46310</v>
      </c>
      <c r="B6" s="9">
        <v>0.60811342592592588</v>
      </c>
      <c r="C6" s="6">
        <v>3.8125</v>
      </c>
      <c r="D6" s="4">
        <v>588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46310</v>
      </c>
      <c r="B7" s="9">
        <v>0.60811342592592588</v>
      </c>
      <c r="C7" s="6">
        <v>4.328125</v>
      </c>
      <c r="D7" s="4">
        <v>591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46310</v>
      </c>
      <c r="B8" s="9">
        <v>0.60812500000000003</v>
      </c>
      <c r="C8" s="6">
        <v>4.859375</v>
      </c>
      <c r="D8" s="4">
        <v>591</v>
      </c>
      <c r="E8" s="4" t="s">
        <v>27</v>
      </c>
      <c r="F8" s="4" t="s">
        <v>27</v>
      </c>
      <c r="G8" s="4">
        <v>21</v>
      </c>
    </row>
    <row r="9" spans="1:9" x14ac:dyDescent="0.2">
      <c r="A9" s="8">
        <v>46310</v>
      </c>
      <c r="B9" s="9">
        <v>0.60812500000000003</v>
      </c>
      <c r="C9" s="6">
        <v>5.390625</v>
      </c>
      <c r="D9" s="4">
        <v>592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46310</v>
      </c>
      <c r="B10" s="9">
        <v>0.60813657407407407</v>
      </c>
      <c r="C10" s="6">
        <v>5.921875</v>
      </c>
      <c r="D10" s="4">
        <v>590</v>
      </c>
      <c r="E10" s="4" t="s">
        <v>27</v>
      </c>
      <c r="F10" s="4" t="s">
        <v>27</v>
      </c>
      <c r="G10" s="4">
        <v>3088</v>
      </c>
    </row>
    <row r="11" spans="1:9" x14ac:dyDescent="0.2">
      <c r="A11" s="8">
        <v>46310</v>
      </c>
      <c r="B11" s="9">
        <v>0.60813657407407407</v>
      </c>
      <c r="C11" s="6">
        <v>6.453125</v>
      </c>
      <c r="D11" s="4">
        <v>592</v>
      </c>
      <c r="E11" s="4" t="s">
        <v>25</v>
      </c>
      <c r="F11" s="10">
        <v>0.52</v>
      </c>
      <c r="G11" s="4" t="s">
        <v>26</v>
      </c>
    </row>
    <row r="12" spans="1:9" x14ac:dyDescent="0.2">
      <c r="A12" s="8">
        <v>46310</v>
      </c>
      <c r="B12" s="9">
        <v>0.6081481481481481</v>
      </c>
      <c r="C12" s="6">
        <v>6.9804690000000003</v>
      </c>
      <c r="D12" s="4">
        <v>589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46310</v>
      </c>
      <c r="B13" s="9">
        <v>0.6081481481481481</v>
      </c>
      <c r="C13" s="6">
        <v>7.4804690000000003</v>
      </c>
      <c r="D13" s="4">
        <v>588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0.60815972222222225</v>
      </c>
      <c r="C14" s="6">
        <v>7.9804690000000003</v>
      </c>
      <c r="D14" s="4">
        <v>590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0.60815972222222225</v>
      </c>
      <c r="C15" s="6">
        <v>8.4804689999999994</v>
      </c>
      <c r="D15" s="4">
        <v>594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46310</v>
      </c>
      <c r="B16" s="9">
        <v>0.60817129629629629</v>
      </c>
      <c r="C16" s="6">
        <v>8.9960939999999994</v>
      </c>
      <c r="D16" s="4">
        <v>592</v>
      </c>
      <c r="E16" s="4" t="s">
        <v>27</v>
      </c>
      <c r="F16" s="4" t="s">
        <v>27</v>
      </c>
      <c r="G16" s="4">
        <v>21</v>
      </c>
    </row>
    <row r="17" spans="1:7" x14ac:dyDescent="0.2">
      <c r="A17" s="8">
        <v>46310</v>
      </c>
      <c r="B17" s="9">
        <v>0.60817129629629629</v>
      </c>
      <c r="C17" s="6">
        <v>9.5273439999999994</v>
      </c>
      <c r="D17" s="4">
        <v>593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46310</v>
      </c>
      <c r="B18" s="9">
        <v>0.60818287037037033</v>
      </c>
      <c r="C18" s="6">
        <v>10.04297</v>
      </c>
      <c r="D18" s="4">
        <v>592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46310</v>
      </c>
      <c r="B19" s="9">
        <v>0.60818287037037033</v>
      </c>
      <c r="C19" s="6">
        <v>10.589840000000001</v>
      </c>
      <c r="D19" s="4">
        <v>593</v>
      </c>
      <c r="E19" s="4" t="s">
        <v>25</v>
      </c>
      <c r="F19" s="10">
        <v>0.53</v>
      </c>
      <c r="G19" s="4" t="s">
        <v>26</v>
      </c>
    </row>
    <row r="20" spans="1:7" x14ac:dyDescent="0.2">
      <c r="A20" s="8">
        <v>46310</v>
      </c>
      <c r="B20" s="9">
        <v>0.60819444444444448</v>
      </c>
      <c r="C20" s="6">
        <v>11.101559999999999</v>
      </c>
      <c r="D20" s="4">
        <v>592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46310</v>
      </c>
      <c r="B21" s="9">
        <v>0.60819444444444448</v>
      </c>
      <c r="C21" s="6">
        <v>11.601559999999999</v>
      </c>
      <c r="D21" s="4">
        <v>594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</row>
    <row r="25" spans="1:7" x14ac:dyDescent="0.2">
      <c r="A25" s="8"/>
      <c r="B25" s="9"/>
    </row>
    <row r="26" spans="1:7" x14ac:dyDescent="0.2">
      <c r="A26" s="8"/>
      <c r="B26" s="9"/>
      <c r="F26" s="10"/>
    </row>
    <row r="27" spans="1:7" x14ac:dyDescent="0.2">
      <c r="A27" s="8"/>
      <c r="B27" s="9"/>
    </row>
    <row r="28" spans="1:7" x14ac:dyDescent="0.2">
      <c r="A28" s="8"/>
      <c r="B28" s="9"/>
    </row>
    <row r="29" spans="1:7" x14ac:dyDescent="0.2">
      <c r="A29" s="8"/>
      <c r="B29" s="9"/>
    </row>
    <row r="30" spans="1:7" x14ac:dyDescent="0.2">
      <c r="A30" s="8"/>
      <c r="B30" s="9"/>
    </row>
    <row r="31" spans="1:7" x14ac:dyDescent="0.2">
      <c r="A31" s="8"/>
      <c r="B31" s="9"/>
    </row>
    <row r="32" spans="1:7" x14ac:dyDescent="0.2">
      <c r="A32" s="8"/>
      <c r="B32" s="9"/>
    </row>
    <row r="33" spans="1:6" x14ac:dyDescent="0.2">
      <c r="A33" s="8"/>
      <c r="B33" s="9"/>
      <c r="F33" s="10"/>
    </row>
    <row r="34" spans="1:6" x14ac:dyDescent="0.2">
      <c r="A34" s="8"/>
      <c r="B34" s="9"/>
    </row>
    <row r="35" spans="1:6" x14ac:dyDescent="0.2">
      <c r="A35" s="8"/>
      <c r="B35" s="9"/>
    </row>
    <row r="36" spans="1:6" x14ac:dyDescent="0.2">
      <c r="A36" s="8"/>
      <c r="B36" s="9"/>
    </row>
    <row r="37" spans="1:6" x14ac:dyDescent="0.2">
      <c r="A37" s="8"/>
      <c r="B37" s="9"/>
    </row>
    <row r="38" spans="1:6" x14ac:dyDescent="0.2">
      <c r="A38" s="8"/>
      <c r="B38" s="9"/>
      <c r="F38" s="10"/>
    </row>
    <row r="39" spans="1:6" x14ac:dyDescent="0.2">
      <c r="A39" s="8"/>
      <c r="B39" s="9"/>
    </row>
    <row r="40" spans="1:6" x14ac:dyDescent="0.2">
      <c r="A40" s="8"/>
      <c r="B40" s="9"/>
    </row>
    <row r="41" spans="1:6" x14ac:dyDescent="0.2">
      <c r="A41" s="8"/>
      <c r="B41" s="9"/>
    </row>
    <row r="42" spans="1:6" x14ac:dyDescent="0.2">
      <c r="A42" s="8"/>
      <c r="B42" s="9"/>
    </row>
    <row r="43" spans="1:6" x14ac:dyDescent="0.2">
      <c r="A43" s="8"/>
      <c r="B43" s="9"/>
    </row>
    <row r="44" spans="1:6" x14ac:dyDescent="0.2">
      <c r="A44" s="8"/>
      <c r="B44" s="9"/>
    </row>
    <row r="45" spans="1:6" x14ac:dyDescent="0.2">
      <c r="A45" s="8"/>
      <c r="B45" s="9"/>
    </row>
    <row r="46" spans="1:6" x14ac:dyDescent="0.2">
      <c r="A46" s="8"/>
      <c r="B46" s="9"/>
    </row>
    <row r="47" spans="1:6" x14ac:dyDescent="0.2">
      <c r="A47" s="8"/>
      <c r="B47" s="9"/>
    </row>
    <row r="48" spans="1:6" x14ac:dyDescent="0.2">
      <c r="A48" s="8"/>
      <c r="B48" s="9"/>
    </row>
    <row r="49" spans="1:6" x14ac:dyDescent="0.2">
      <c r="A49" s="8"/>
      <c r="B49" s="9"/>
    </row>
    <row r="50" spans="1:6" x14ac:dyDescent="0.2">
      <c r="A50" s="8"/>
      <c r="B50" s="9"/>
      <c r="F50" s="10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74AD2-8679-400E-A08E-97930A86B000}">
  <dimension ref="A1:I22"/>
  <sheetViews>
    <sheetView workbookViewId="0">
      <selection activeCell="H20" sqref="H20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0.60991898148148149</v>
      </c>
      <c r="C2" s="6">
        <v>1.8125</v>
      </c>
      <c r="D2" s="4">
        <v>596</v>
      </c>
      <c r="E2" s="4" t="s">
        <v>24</v>
      </c>
      <c r="F2" s="4" t="s">
        <v>24</v>
      </c>
      <c r="G2" s="4" t="s">
        <v>24</v>
      </c>
      <c r="I2">
        <f>AVERAGE(D2:D21)</f>
        <v>598.75</v>
      </c>
    </row>
    <row r="3" spans="1:9" x14ac:dyDescent="0.2">
      <c r="A3" s="8">
        <v>46310</v>
      </c>
      <c r="B3" s="9">
        <v>0.60993055555555553</v>
      </c>
      <c r="C3" s="6">
        <v>2.2773439999999998</v>
      </c>
      <c r="D3" s="4">
        <v>597</v>
      </c>
      <c r="E3" s="4" t="s">
        <v>24</v>
      </c>
      <c r="F3" s="4" t="s">
        <v>24</v>
      </c>
      <c r="G3" s="4" t="s">
        <v>24</v>
      </c>
      <c r="I3">
        <f>91*(1023-I2)/I2</f>
        <v>64.478914405010443</v>
      </c>
    </row>
    <row r="4" spans="1:9" x14ac:dyDescent="0.2">
      <c r="A4" s="8">
        <v>46310</v>
      </c>
      <c r="B4" s="9">
        <v>0.60993055555555553</v>
      </c>
      <c r="C4" s="6">
        <v>2.7929689999999998</v>
      </c>
      <c r="D4" s="4">
        <v>597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0.60994212962962968</v>
      </c>
      <c r="C5" s="6">
        <v>3.8125</v>
      </c>
      <c r="D5" s="4">
        <v>596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46310</v>
      </c>
      <c r="B6" s="9">
        <v>0.60995370370370372</v>
      </c>
      <c r="C6" s="6">
        <v>4.3242190000000003</v>
      </c>
      <c r="D6" s="4">
        <v>597</v>
      </c>
      <c r="E6" s="4" t="s">
        <v>27</v>
      </c>
      <c r="F6" s="4" t="s">
        <v>27</v>
      </c>
      <c r="G6" s="4">
        <v>3088</v>
      </c>
    </row>
    <row r="7" spans="1:9" x14ac:dyDescent="0.2">
      <c r="A7" s="8">
        <v>46310</v>
      </c>
      <c r="B7" s="9">
        <v>0.60996527777777776</v>
      </c>
      <c r="C7" s="6">
        <v>4.859375</v>
      </c>
      <c r="D7" s="4">
        <v>595</v>
      </c>
      <c r="E7" s="4" t="s">
        <v>27</v>
      </c>
      <c r="F7" s="4" t="s">
        <v>27</v>
      </c>
      <c r="G7" s="4">
        <v>21</v>
      </c>
    </row>
    <row r="8" spans="1:9" x14ac:dyDescent="0.2">
      <c r="A8" s="8">
        <v>46310</v>
      </c>
      <c r="B8" s="9">
        <v>0.60996527777777776</v>
      </c>
      <c r="C8" s="6">
        <v>5.390625</v>
      </c>
      <c r="D8" s="4">
        <v>600</v>
      </c>
      <c r="E8" s="4" t="s">
        <v>27</v>
      </c>
      <c r="F8" s="4" t="s">
        <v>27</v>
      </c>
      <c r="G8" s="4">
        <v>4112</v>
      </c>
    </row>
    <row r="9" spans="1:9" x14ac:dyDescent="0.2">
      <c r="A9" s="8">
        <v>46310</v>
      </c>
      <c r="B9" s="9">
        <v>0.6099768518518518</v>
      </c>
      <c r="C9" s="6">
        <v>5.90625</v>
      </c>
      <c r="D9" s="4">
        <v>596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46310</v>
      </c>
      <c r="B10" s="9">
        <v>0.60998842592592595</v>
      </c>
      <c r="C10" s="6">
        <v>6.9414059999999997</v>
      </c>
      <c r="D10" s="4">
        <v>597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46310</v>
      </c>
      <c r="B11" s="9">
        <v>0.60998842592592595</v>
      </c>
      <c r="C11" s="6">
        <v>7.4765629999999996</v>
      </c>
      <c r="D11" s="4">
        <v>600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46310</v>
      </c>
      <c r="B12" s="9">
        <v>0.61</v>
      </c>
      <c r="C12" s="6">
        <v>8.0078130000000005</v>
      </c>
      <c r="D12" s="4">
        <v>599</v>
      </c>
      <c r="E12" s="4" t="s">
        <v>25</v>
      </c>
      <c r="F12" s="10">
        <v>0.52</v>
      </c>
      <c r="G12" s="4" t="s">
        <v>26</v>
      </c>
    </row>
    <row r="13" spans="1:9" x14ac:dyDescent="0.2">
      <c r="A13" s="8">
        <v>46310</v>
      </c>
      <c r="B13" s="9">
        <v>0.61</v>
      </c>
      <c r="C13" s="6">
        <v>8.5351560000000006</v>
      </c>
      <c r="D13" s="4">
        <v>600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0.61001157407407403</v>
      </c>
      <c r="C14" s="6">
        <v>9.0351560000000006</v>
      </c>
      <c r="D14" s="4">
        <v>601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0.61001157407407403</v>
      </c>
      <c r="C15" s="6">
        <v>9.5351560000000006</v>
      </c>
      <c r="D15" s="4">
        <v>599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46310</v>
      </c>
      <c r="B16" s="9">
        <v>0.61002314814814818</v>
      </c>
      <c r="C16" s="6">
        <v>10.035159999999999</v>
      </c>
      <c r="D16" s="4">
        <v>602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0.61003472222222221</v>
      </c>
      <c r="C17" s="6">
        <v>11.054690000000001</v>
      </c>
      <c r="D17" s="4">
        <v>598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46310</v>
      </c>
      <c r="B18" s="9">
        <v>0.61003472222222221</v>
      </c>
      <c r="C18" s="6">
        <v>11.570309999999999</v>
      </c>
      <c r="D18" s="4">
        <v>601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46310</v>
      </c>
      <c r="B19" s="9">
        <v>0.61004629629629625</v>
      </c>
      <c r="C19" s="6">
        <v>12.11328</v>
      </c>
      <c r="D19" s="4">
        <v>603</v>
      </c>
      <c r="E19" s="4" t="s">
        <v>25</v>
      </c>
      <c r="F19" s="10">
        <v>0.52</v>
      </c>
      <c r="G19" s="4" t="s">
        <v>26</v>
      </c>
    </row>
    <row r="20" spans="1:7" x14ac:dyDescent="0.2">
      <c r="A20" s="8">
        <v>46310</v>
      </c>
      <c r="B20" s="9">
        <v>0.61004629629629625</v>
      </c>
      <c r="C20" s="6">
        <v>12.628909999999999</v>
      </c>
      <c r="D20" s="4">
        <v>599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46310</v>
      </c>
      <c r="B21" s="9">
        <v>0.6100578703703704</v>
      </c>
      <c r="C21" s="6">
        <v>13.128909999999999</v>
      </c>
      <c r="D21" s="4">
        <v>602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6792-8B2D-4DF5-B541-22B79C45B2CB}">
  <dimension ref="A1:I21"/>
  <sheetViews>
    <sheetView workbookViewId="0">
      <selection activeCell="I4" sqref="I4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0.61127314814814815</v>
      </c>
      <c r="C2" s="6">
        <v>1.8125</v>
      </c>
      <c r="D2" s="4">
        <v>584</v>
      </c>
      <c r="E2" s="4" t="s">
        <v>24</v>
      </c>
      <c r="F2" s="4" t="s">
        <v>24</v>
      </c>
      <c r="G2" s="4" t="s">
        <v>24</v>
      </c>
      <c r="I2">
        <f>AVERAGE(D2:D21)</f>
        <v>585.29999999999995</v>
      </c>
    </row>
    <row r="3" spans="1:9" x14ac:dyDescent="0.2">
      <c r="A3" s="8">
        <v>46310</v>
      </c>
      <c r="B3" s="9">
        <v>0.61128472222222219</v>
      </c>
      <c r="C3" s="6">
        <v>2.28125</v>
      </c>
      <c r="D3" s="4">
        <v>587</v>
      </c>
      <c r="E3" s="4" t="s">
        <v>24</v>
      </c>
      <c r="F3" s="4" t="s">
        <v>24</v>
      </c>
      <c r="G3" s="4" t="s">
        <v>24</v>
      </c>
      <c r="I3">
        <f>91*(1023-I2)/I2</f>
        <v>68.051768323936457</v>
      </c>
    </row>
    <row r="4" spans="1:9" x14ac:dyDescent="0.2">
      <c r="A4" s="8">
        <v>46310</v>
      </c>
      <c r="B4" s="9">
        <v>0.61128472222222219</v>
      </c>
      <c r="C4" s="6">
        <v>2.78125</v>
      </c>
      <c r="D4" s="4">
        <v>587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0.61129629629629634</v>
      </c>
      <c r="C5" s="6">
        <v>3.796875</v>
      </c>
      <c r="D5" s="4">
        <v>588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46310</v>
      </c>
      <c r="B6" s="9">
        <v>0.61130787037037038</v>
      </c>
      <c r="C6" s="6">
        <v>4.3320309999999997</v>
      </c>
      <c r="D6" s="4">
        <v>584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46310</v>
      </c>
      <c r="B7" s="9">
        <v>0.61130787037037038</v>
      </c>
      <c r="C7" s="6">
        <v>4.8671879999999996</v>
      </c>
      <c r="D7" s="4">
        <v>583</v>
      </c>
      <c r="E7" s="4" t="s">
        <v>25</v>
      </c>
      <c r="F7" s="10">
        <v>0.52</v>
      </c>
      <c r="G7" s="4" t="s">
        <v>26</v>
      </c>
    </row>
    <row r="8" spans="1:9" x14ac:dyDescent="0.2">
      <c r="A8" s="8">
        <v>46310</v>
      </c>
      <c r="B8" s="9">
        <v>0.61131944444444442</v>
      </c>
      <c r="C8" s="6">
        <v>5.3789059999999997</v>
      </c>
      <c r="D8" s="4">
        <v>587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0.61131944444444442</v>
      </c>
      <c r="C9" s="6">
        <v>5.8789059999999997</v>
      </c>
      <c r="D9" s="4">
        <v>584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0.61133101851851857</v>
      </c>
      <c r="C10" s="6">
        <v>6.375</v>
      </c>
      <c r="D10" s="4">
        <v>583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46310</v>
      </c>
      <c r="B11" s="9">
        <v>0.61133101851851857</v>
      </c>
      <c r="C11" s="6">
        <v>6.890625</v>
      </c>
      <c r="D11" s="4">
        <v>584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46310</v>
      </c>
      <c r="B12" s="9">
        <v>0.6113425925925926</v>
      </c>
      <c r="C12" s="6">
        <v>7.4101559999999997</v>
      </c>
      <c r="D12" s="4">
        <v>585</v>
      </c>
      <c r="E12" s="4" t="s">
        <v>25</v>
      </c>
      <c r="F12" s="10">
        <v>0.52</v>
      </c>
      <c r="G12" s="4" t="s">
        <v>26</v>
      </c>
    </row>
    <row r="13" spans="1:9" x14ac:dyDescent="0.2">
      <c r="A13" s="8">
        <v>46310</v>
      </c>
      <c r="B13" s="9">
        <v>0.6113425925925926</v>
      </c>
      <c r="C13" s="6">
        <v>7.9257809999999997</v>
      </c>
      <c r="D13" s="4">
        <v>588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0.61135416666666664</v>
      </c>
      <c r="C14" s="6">
        <v>8.4257810000000006</v>
      </c>
      <c r="D14" s="4">
        <v>585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0.61135416666666664</v>
      </c>
      <c r="C15" s="6">
        <v>8.9296880000000005</v>
      </c>
      <c r="D15" s="4">
        <v>584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46310</v>
      </c>
      <c r="B16" s="9">
        <v>0.61136574074074079</v>
      </c>
      <c r="C16" s="6">
        <v>9.4335939999999994</v>
      </c>
      <c r="D16" s="4">
        <v>584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0.61136574074074079</v>
      </c>
      <c r="C17" s="6">
        <v>9.9492189999999994</v>
      </c>
      <c r="D17" s="4">
        <v>585</v>
      </c>
      <c r="E17" s="4" t="s">
        <v>25</v>
      </c>
      <c r="F17" s="10">
        <v>0.52</v>
      </c>
      <c r="G17" s="4" t="s">
        <v>26</v>
      </c>
    </row>
    <row r="18" spans="1:7" x14ac:dyDescent="0.2">
      <c r="A18" s="8">
        <v>46310</v>
      </c>
      <c r="B18" s="9">
        <v>0.61137731481481483</v>
      </c>
      <c r="C18" s="6">
        <v>10.464840000000001</v>
      </c>
      <c r="D18" s="4">
        <v>585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0.61137731481481483</v>
      </c>
      <c r="C19" s="6">
        <v>10.964840000000001</v>
      </c>
      <c r="D19" s="4">
        <v>587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0.61138888888888887</v>
      </c>
      <c r="C20" s="6">
        <v>11.464840000000001</v>
      </c>
      <c r="D20" s="4">
        <v>586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46310</v>
      </c>
      <c r="B21" s="9">
        <v>0.61138888888888887</v>
      </c>
      <c r="C21" s="6">
        <v>11.964840000000001</v>
      </c>
      <c r="D21" s="4">
        <v>586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6A7D-D4D4-411F-BC1A-C056BBE3A78F}">
  <dimension ref="A1:I56"/>
  <sheetViews>
    <sheetView workbookViewId="0">
      <selection activeCell="I17" sqref="I17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0.61263888888888884</v>
      </c>
      <c r="C2" s="6">
        <v>1.792969</v>
      </c>
      <c r="D2" s="4">
        <v>691</v>
      </c>
      <c r="E2" s="4" t="s">
        <v>24</v>
      </c>
      <c r="F2" s="4" t="s">
        <v>24</v>
      </c>
      <c r="G2" s="4" t="s">
        <v>24</v>
      </c>
      <c r="I2">
        <f>AVERAGE(D2:D21)</f>
        <v>681</v>
      </c>
    </row>
    <row r="3" spans="1:9" x14ac:dyDescent="0.2">
      <c r="A3" s="8">
        <v>46310</v>
      </c>
      <c r="B3" s="9">
        <v>0.61265046296296299</v>
      </c>
      <c r="C3" s="6">
        <v>2.2773439999999998</v>
      </c>
      <c r="D3" s="4">
        <v>687</v>
      </c>
      <c r="E3" s="4" t="s">
        <v>24</v>
      </c>
      <c r="F3" s="4" t="s">
        <v>24</v>
      </c>
      <c r="G3" s="4" t="s">
        <v>24</v>
      </c>
      <c r="I3">
        <f>91*(1023-I2)/I2</f>
        <v>45.70044052863436</v>
      </c>
    </row>
    <row r="4" spans="1:9" x14ac:dyDescent="0.2">
      <c r="A4" s="8">
        <v>46310</v>
      </c>
      <c r="B4" s="9">
        <v>0.61265046296296299</v>
      </c>
      <c r="C4" s="6">
        <v>2.7773439999999998</v>
      </c>
      <c r="D4" s="4">
        <v>686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0.61266203703703703</v>
      </c>
      <c r="C5" s="6">
        <v>3.2929689999999998</v>
      </c>
      <c r="D5" s="4">
        <v>685</v>
      </c>
      <c r="E5" s="4" t="s">
        <v>25</v>
      </c>
      <c r="F5" s="10">
        <v>0.52</v>
      </c>
      <c r="G5" s="4" t="s">
        <v>26</v>
      </c>
    </row>
    <row r="6" spans="1:9" x14ac:dyDescent="0.2">
      <c r="A6" s="8">
        <v>46310</v>
      </c>
      <c r="B6" s="9">
        <v>0.61266203703703703</v>
      </c>
      <c r="C6" s="6">
        <v>3.8085939999999998</v>
      </c>
      <c r="D6" s="4">
        <v>683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0.61267361111111107</v>
      </c>
      <c r="C7" s="6">
        <v>4.3242190000000003</v>
      </c>
      <c r="D7" s="4">
        <v>683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0.61267361111111107</v>
      </c>
      <c r="C8" s="6">
        <v>4.8242190000000003</v>
      </c>
      <c r="D8" s="4">
        <v>682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0.61268518518518522</v>
      </c>
      <c r="C9" s="6">
        <v>5.3242190000000003</v>
      </c>
      <c r="D9" s="4">
        <v>684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0.61268518518518522</v>
      </c>
      <c r="C10" s="6">
        <v>5.8398440000000003</v>
      </c>
      <c r="D10" s="4">
        <v>683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46310</v>
      </c>
      <c r="B11" s="9">
        <v>0.61269675925925926</v>
      </c>
      <c r="C11" s="6">
        <v>6.3554690000000003</v>
      </c>
      <c r="D11" s="4">
        <v>682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46310</v>
      </c>
      <c r="B12" s="9">
        <v>0.61269675925925926</v>
      </c>
      <c r="C12" s="6">
        <v>6.8554690000000003</v>
      </c>
      <c r="D12" s="4">
        <v>679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46310</v>
      </c>
      <c r="B13" s="9">
        <v>0.6127083333333333</v>
      </c>
      <c r="C13" s="6">
        <v>7.3710940000000003</v>
      </c>
      <c r="D13" s="4">
        <v>681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0.6127083333333333</v>
      </c>
      <c r="C14" s="6">
        <v>7.8710940000000003</v>
      </c>
      <c r="D14" s="4">
        <v>679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0.61271990740740745</v>
      </c>
      <c r="C15" s="6">
        <v>8.3867189999999994</v>
      </c>
      <c r="D15" s="4">
        <v>676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46310</v>
      </c>
      <c r="B16" s="9">
        <v>0.61271990740740745</v>
      </c>
      <c r="C16" s="6">
        <v>8.9023439999999994</v>
      </c>
      <c r="D16" s="4">
        <v>677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0.61273148148148149</v>
      </c>
      <c r="C17" s="6">
        <v>9.4492189999999994</v>
      </c>
      <c r="D17" s="4">
        <v>677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0.61273148148148149</v>
      </c>
      <c r="C18" s="6">
        <v>9.9023439999999994</v>
      </c>
      <c r="D18" s="4">
        <v>676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0.61274305555555553</v>
      </c>
      <c r="C19" s="6">
        <v>10.402340000000001</v>
      </c>
      <c r="D19" s="4">
        <v>678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0.61275462962962968</v>
      </c>
      <c r="C20" s="6">
        <v>11.41797</v>
      </c>
      <c r="D20" s="4">
        <v>675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46310</v>
      </c>
      <c r="B21" s="9">
        <v>0.61275462962962968</v>
      </c>
      <c r="C21" s="6">
        <v>11.94922</v>
      </c>
      <c r="D21" s="4">
        <v>676</v>
      </c>
      <c r="E21" s="4" t="s">
        <v>27</v>
      </c>
      <c r="F21" s="4" t="s">
        <v>27</v>
      </c>
      <c r="G21" s="4">
        <v>4112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  <c r="F24" s="10"/>
    </row>
    <row r="25" spans="1:7" x14ac:dyDescent="0.2">
      <c r="A25" s="8"/>
      <c r="B25" s="9"/>
    </row>
    <row r="26" spans="1:7" x14ac:dyDescent="0.2">
      <c r="A26" s="8"/>
      <c r="B26" s="9"/>
    </row>
    <row r="27" spans="1:7" x14ac:dyDescent="0.2">
      <c r="A27" s="8"/>
      <c r="B27" s="9"/>
    </row>
    <row r="28" spans="1:7" x14ac:dyDescent="0.2">
      <c r="A28" s="8"/>
      <c r="B28" s="9"/>
    </row>
    <row r="29" spans="1:7" x14ac:dyDescent="0.2">
      <c r="A29" s="8"/>
      <c r="B29" s="9"/>
    </row>
    <row r="30" spans="1:7" x14ac:dyDescent="0.2">
      <c r="A30" s="8"/>
      <c r="B30" s="9"/>
    </row>
    <row r="31" spans="1:7" x14ac:dyDescent="0.2">
      <c r="A31" s="8"/>
      <c r="B31" s="9"/>
    </row>
    <row r="32" spans="1:7" x14ac:dyDescent="0.2">
      <c r="A32" s="8"/>
      <c r="B32" s="9"/>
    </row>
    <row r="33" spans="1:6" x14ac:dyDescent="0.2">
      <c r="A33" s="8"/>
      <c r="B33" s="9"/>
    </row>
    <row r="34" spans="1:6" x14ac:dyDescent="0.2">
      <c r="A34" s="8"/>
      <c r="B34" s="9"/>
    </row>
    <row r="35" spans="1:6" x14ac:dyDescent="0.2">
      <c r="A35" s="8"/>
      <c r="B35" s="9"/>
      <c r="F35" s="10"/>
    </row>
    <row r="36" spans="1:6" x14ac:dyDescent="0.2">
      <c r="A36" s="8"/>
      <c r="B36" s="9"/>
    </row>
    <row r="37" spans="1:6" x14ac:dyDescent="0.2">
      <c r="A37" s="8"/>
      <c r="B37" s="9"/>
    </row>
    <row r="38" spans="1:6" x14ac:dyDescent="0.2">
      <c r="A38" s="8"/>
      <c r="B38" s="9"/>
    </row>
    <row r="39" spans="1:6" x14ac:dyDescent="0.2">
      <c r="A39" s="8"/>
      <c r="B39" s="9"/>
    </row>
    <row r="40" spans="1:6" x14ac:dyDescent="0.2">
      <c r="A40" s="8"/>
      <c r="B40" s="9"/>
      <c r="F40" s="10"/>
    </row>
    <row r="41" spans="1:6" x14ac:dyDescent="0.2">
      <c r="A41" s="8"/>
      <c r="B41" s="9"/>
    </row>
    <row r="42" spans="1:6" x14ac:dyDescent="0.2">
      <c r="A42" s="8"/>
      <c r="B42" s="9"/>
    </row>
    <row r="43" spans="1:6" x14ac:dyDescent="0.2">
      <c r="A43" s="8"/>
      <c r="B43" s="9"/>
    </row>
    <row r="44" spans="1:6" x14ac:dyDescent="0.2">
      <c r="A44" s="8"/>
      <c r="B44" s="9"/>
    </row>
    <row r="45" spans="1:6" x14ac:dyDescent="0.2">
      <c r="A45" s="8"/>
      <c r="B45" s="9"/>
      <c r="F45" s="10"/>
    </row>
    <row r="46" spans="1:6" x14ac:dyDescent="0.2">
      <c r="A46" s="8"/>
      <c r="B46" s="9"/>
    </row>
    <row r="47" spans="1:6" x14ac:dyDescent="0.2">
      <c r="A47" s="8"/>
      <c r="B47" s="9"/>
    </row>
    <row r="48" spans="1:6" x14ac:dyDescent="0.2">
      <c r="A48" s="8"/>
      <c r="B48" s="9"/>
    </row>
    <row r="49" spans="1:6" x14ac:dyDescent="0.2">
      <c r="A49" s="8"/>
      <c r="B49" s="9"/>
    </row>
    <row r="50" spans="1:6" x14ac:dyDescent="0.2">
      <c r="A50" s="8"/>
      <c r="B50" s="9"/>
      <c r="F50" s="10"/>
    </row>
    <row r="51" spans="1:6" x14ac:dyDescent="0.2">
      <c r="A51" s="8"/>
      <c r="B51" s="9"/>
    </row>
    <row r="52" spans="1:6" x14ac:dyDescent="0.2">
      <c r="A52" s="8"/>
      <c r="B52" s="9"/>
    </row>
    <row r="53" spans="1:6" x14ac:dyDescent="0.2">
      <c r="A53" s="8"/>
      <c r="B53" s="9"/>
    </row>
    <row r="54" spans="1:6" x14ac:dyDescent="0.2">
      <c r="A54" s="8"/>
      <c r="B54" s="9"/>
    </row>
    <row r="55" spans="1:6" x14ac:dyDescent="0.2">
      <c r="A55" s="8"/>
      <c r="B55" s="9"/>
      <c r="F55" s="10"/>
    </row>
    <row r="56" spans="1:6" x14ac:dyDescent="0.2">
      <c r="A56" s="8"/>
      <c r="B56" s="9"/>
    </row>
  </sheetData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3A787-DDDC-4F53-A95B-09BBCFB8C71C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0.61414351851851856</v>
      </c>
      <c r="C2" s="6">
        <v>1.796875</v>
      </c>
      <c r="D2" s="4">
        <v>711</v>
      </c>
      <c r="E2" s="4" t="s">
        <v>24</v>
      </c>
      <c r="F2" s="4" t="s">
        <v>24</v>
      </c>
      <c r="G2" s="4" t="s">
        <v>24</v>
      </c>
      <c r="I2">
        <f>AVERAGE(D2:D21)</f>
        <v>702.65</v>
      </c>
    </row>
    <row r="3" spans="1:9" x14ac:dyDescent="0.2">
      <c r="A3" s="8">
        <v>46310</v>
      </c>
      <c r="B3" s="9">
        <v>0.6141550925925926</v>
      </c>
      <c r="C3" s="6">
        <v>2.28125</v>
      </c>
      <c r="D3" s="4">
        <v>705</v>
      </c>
      <c r="E3" s="4" t="s">
        <v>24</v>
      </c>
      <c r="F3" s="4" t="s">
        <v>24</v>
      </c>
      <c r="G3" s="4" t="s">
        <v>24</v>
      </c>
      <c r="I3">
        <f>91*(1023-I2)/I2</f>
        <v>41.488436632747458</v>
      </c>
    </row>
    <row r="4" spans="1:9" x14ac:dyDescent="0.2">
      <c r="A4" s="8">
        <v>46310</v>
      </c>
      <c r="B4" s="9">
        <v>0.6141550925925926</v>
      </c>
      <c r="C4" s="6">
        <v>2.78125</v>
      </c>
      <c r="D4" s="4">
        <v>709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0.61416666666666664</v>
      </c>
      <c r="C5" s="6">
        <v>3.296875</v>
      </c>
      <c r="D5" s="4">
        <v>706</v>
      </c>
      <c r="E5" s="4" t="s">
        <v>25</v>
      </c>
      <c r="F5" s="10">
        <v>0.52</v>
      </c>
      <c r="G5" s="4" t="s">
        <v>26</v>
      </c>
    </row>
    <row r="6" spans="1:9" x14ac:dyDescent="0.2">
      <c r="A6" s="8">
        <v>46310</v>
      </c>
      <c r="B6" s="9">
        <v>0.61416666666666664</v>
      </c>
      <c r="C6" s="6">
        <v>3.8125</v>
      </c>
      <c r="D6" s="4">
        <v>705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0.61417824074074079</v>
      </c>
      <c r="C7" s="6">
        <v>4.3125</v>
      </c>
      <c r="D7" s="4">
        <v>707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0.61417824074074079</v>
      </c>
      <c r="C8" s="6">
        <v>4.828125</v>
      </c>
      <c r="D8" s="4">
        <v>703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0.61418981481481483</v>
      </c>
      <c r="C9" s="6">
        <v>5.328125</v>
      </c>
      <c r="D9" s="4">
        <v>705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0.61418981481481483</v>
      </c>
      <c r="C10" s="6">
        <v>5.84375</v>
      </c>
      <c r="D10" s="4">
        <v>705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46310</v>
      </c>
      <c r="B11" s="9">
        <v>0.61420138888888887</v>
      </c>
      <c r="C11" s="6">
        <v>6.359375</v>
      </c>
      <c r="D11" s="4">
        <v>703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46310</v>
      </c>
      <c r="B12" s="9">
        <v>0.61420138888888887</v>
      </c>
      <c r="C12" s="6">
        <v>6.859375</v>
      </c>
      <c r="D12" s="4">
        <v>701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46310</v>
      </c>
      <c r="B13" s="9">
        <v>0.61421296296296302</v>
      </c>
      <c r="C13" s="6">
        <v>7.359375</v>
      </c>
      <c r="D13" s="4">
        <v>701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0.61421296296296302</v>
      </c>
      <c r="C14" s="6">
        <v>7.859375</v>
      </c>
      <c r="D14" s="4">
        <v>701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0.61422453703703705</v>
      </c>
      <c r="C15" s="6">
        <v>8.375</v>
      </c>
      <c r="D15" s="4">
        <v>701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46310</v>
      </c>
      <c r="B16" s="9">
        <v>0.61423611111111109</v>
      </c>
      <c r="C16" s="6">
        <v>8.90625</v>
      </c>
      <c r="D16" s="4">
        <v>698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0.61423611111111109</v>
      </c>
      <c r="C17" s="6">
        <v>9.40625</v>
      </c>
      <c r="D17" s="4">
        <v>698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0.61424768518518513</v>
      </c>
      <c r="C18" s="6">
        <v>9.90625</v>
      </c>
      <c r="D18" s="4">
        <v>700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0.61424768518518513</v>
      </c>
      <c r="C19" s="6">
        <v>10.40625</v>
      </c>
      <c r="D19" s="4">
        <v>699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0.61425925925925928</v>
      </c>
      <c r="C20" s="6">
        <v>10.92188</v>
      </c>
      <c r="D20" s="4">
        <v>698</v>
      </c>
      <c r="E20" s="4" t="s">
        <v>25</v>
      </c>
      <c r="F20" s="10">
        <v>0.53</v>
      </c>
      <c r="G20" s="4" t="s">
        <v>26</v>
      </c>
    </row>
    <row r="21" spans="1:7" x14ac:dyDescent="0.2">
      <c r="A21" s="8">
        <v>46310</v>
      </c>
      <c r="B21" s="9">
        <v>0.61425925925925928</v>
      </c>
      <c r="C21" s="6">
        <v>11.44922</v>
      </c>
      <c r="D21" s="4">
        <v>697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59AA-481A-49A4-A64D-7B84C30E4F89}">
  <dimension ref="A1:I21"/>
  <sheetViews>
    <sheetView workbookViewId="0">
      <selection activeCell="K20" sqref="K20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0.61597222222222225</v>
      </c>
      <c r="C2" s="6">
        <v>1.808594</v>
      </c>
      <c r="D2" s="4">
        <v>560</v>
      </c>
      <c r="E2" s="4" t="s">
        <v>24</v>
      </c>
      <c r="F2" s="4" t="s">
        <v>24</v>
      </c>
      <c r="G2" s="4" t="s">
        <v>24</v>
      </c>
      <c r="I2">
        <f>AVERAGE(D2:D21)</f>
        <v>558.15</v>
      </c>
    </row>
    <row r="3" spans="1:9" x14ac:dyDescent="0.2">
      <c r="A3" s="8">
        <v>46310</v>
      </c>
      <c r="B3" s="9">
        <v>0.61597222222222225</v>
      </c>
      <c r="C3" s="6">
        <v>2.2773439999999998</v>
      </c>
      <c r="D3" s="4">
        <v>559</v>
      </c>
      <c r="E3" s="4" t="s">
        <v>24</v>
      </c>
      <c r="F3" s="4" t="s">
        <v>24</v>
      </c>
      <c r="G3" s="4" t="s">
        <v>24</v>
      </c>
      <c r="I3">
        <f>91*(1023-I2)/I2</f>
        <v>75.78849771566783</v>
      </c>
    </row>
    <row r="4" spans="1:9" x14ac:dyDescent="0.2">
      <c r="A4" s="8">
        <v>46310</v>
      </c>
      <c r="B4" s="9">
        <v>0.61598379629629629</v>
      </c>
      <c r="C4" s="6">
        <v>2.7773439999999998</v>
      </c>
      <c r="D4" s="4">
        <v>560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0.61598379629629629</v>
      </c>
      <c r="C5" s="6">
        <v>3.2929689999999998</v>
      </c>
      <c r="D5" s="4">
        <v>556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46310</v>
      </c>
      <c r="B6" s="9">
        <v>0.61599537037037033</v>
      </c>
      <c r="C6" s="6">
        <v>3.8242189999999998</v>
      </c>
      <c r="D6" s="4">
        <v>557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0.61599537037037033</v>
      </c>
      <c r="C7" s="6">
        <v>4.3242190000000003</v>
      </c>
      <c r="D7" s="4">
        <v>557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0.61600694444444448</v>
      </c>
      <c r="C8" s="6">
        <v>4.8242190000000003</v>
      </c>
      <c r="D8" s="4">
        <v>557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0.61600694444444448</v>
      </c>
      <c r="C9" s="6">
        <v>5.3242190000000003</v>
      </c>
      <c r="D9" s="4">
        <v>557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0.61601851851851852</v>
      </c>
      <c r="C10" s="6">
        <v>6.3398440000000003</v>
      </c>
      <c r="D10" s="4">
        <v>560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46310</v>
      </c>
      <c r="B11" s="9">
        <v>0.61603009259259256</v>
      </c>
      <c r="C11" s="6">
        <v>6.8710940000000003</v>
      </c>
      <c r="D11" s="4">
        <v>557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46310</v>
      </c>
      <c r="B12" s="9">
        <v>0.61604166666666671</v>
      </c>
      <c r="C12" s="6">
        <v>7.9023440000000003</v>
      </c>
      <c r="D12" s="4">
        <v>560</v>
      </c>
      <c r="E12" s="4" t="s">
        <v>27</v>
      </c>
      <c r="F12" s="4" t="s">
        <v>27</v>
      </c>
      <c r="G12" s="4">
        <v>-237</v>
      </c>
    </row>
    <row r="13" spans="1:9" x14ac:dyDescent="0.2">
      <c r="A13" s="8">
        <v>46310</v>
      </c>
      <c r="B13" s="9">
        <v>0.61604166666666671</v>
      </c>
      <c r="C13" s="6">
        <v>8.4335939999999994</v>
      </c>
      <c r="D13" s="4">
        <v>559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46310</v>
      </c>
      <c r="B14" s="9">
        <v>0.61605324074074075</v>
      </c>
      <c r="C14" s="6">
        <v>9.4648439999999994</v>
      </c>
      <c r="D14" s="4">
        <v>556</v>
      </c>
      <c r="E14" s="4" t="s">
        <v>27</v>
      </c>
      <c r="F14" s="4" t="s">
        <v>27</v>
      </c>
      <c r="G14" s="4">
        <v>-237</v>
      </c>
    </row>
    <row r="15" spans="1:9" x14ac:dyDescent="0.2">
      <c r="A15" s="8">
        <v>46310</v>
      </c>
      <c r="B15" s="9">
        <v>0.61606481481481479</v>
      </c>
      <c r="C15" s="6">
        <v>9.9960939999999994</v>
      </c>
      <c r="D15" s="4">
        <v>559</v>
      </c>
      <c r="E15" s="4" t="s">
        <v>27</v>
      </c>
      <c r="F15" s="4" t="s">
        <v>27</v>
      </c>
      <c r="G15" s="4">
        <v>4112</v>
      </c>
    </row>
    <row r="16" spans="1:9" x14ac:dyDescent="0.2">
      <c r="A16" s="8">
        <v>46310</v>
      </c>
      <c r="B16" s="9">
        <v>0.61607638888888894</v>
      </c>
      <c r="C16" s="6">
        <v>10.527340000000001</v>
      </c>
      <c r="D16" s="4">
        <v>558</v>
      </c>
      <c r="E16" s="4" t="s">
        <v>25</v>
      </c>
      <c r="F16" s="10">
        <v>0.52</v>
      </c>
      <c r="G16" s="4" t="s">
        <v>26</v>
      </c>
    </row>
    <row r="17" spans="1:7" x14ac:dyDescent="0.2">
      <c r="A17" s="8">
        <v>46310</v>
      </c>
      <c r="B17" s="9">
        <v>0.61607638888888894</v>
      </c>
      <c r="C17" s="6">
        <v>11.04297</v>
      </c>
      <c r="D17" s="4">
        <v>559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0.61608796296296298</v>
      </c>
      <c r="C18" s="6">
        <v>11.54297</v>
      </c>
      <c r="D18" s="4">
        <v>558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0.61608796296296298</v>
      </c>
      <c r="C19" s="6">
        <v>12.04297</v>
      </c>
      <c r="D19" s="4">
        <v>557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0.61609953703703701</v>
      </c>
      <c r="C20" s="6">
        <v>12.54297</v>
      </c>
      <c r="D20" s="4">
        <v>558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46310</v>
      </c>
      <c r="B21" s="9">
        <v>0.61609953703703701</v>
      </c>
      <c r="C21" s="6">
        <v>13.070309999999999</v>
      </c>
      <c r="D21" s="4">
        <v>559</v>
      </c>
      <c r="E21" s="4" t="s">
        <v>25</v>
      </c>
      <c r="F21" s="10">
        <v>0.53</v>
      </c>
      <c r="G21" s="4" t="s">
        <v>26</v>
      </c>
    </row>
  </sheetData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EFA1F-9B94-48CD-8924-CA08CF332043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0.61743055555555559</v>
      </c>
      <c r="C2" s="6">
        <v>1.8125</v>
      </c>
      <c r="D2" s="4">
        <v>552</v>
      </c>
      <c r="E2" s="4" t="s">
        <v>24</v>
      </c>
      <c r="F2" s="4" t="s">
        <v>24</v>
      </c>
      <c r="G2" s="4" t="s">
        <v>24</v>
      </c>
      <c r="I2">
        <f>AVERAGE(D2:D21)</f>
        <v>543.95000000000005</v>
      </c>
    </row>
    <row r="3" spans="1:9" x14ac:dyDescent="0.2">
      <c r="A3" s="8">
        <v>46310</v>
      </c>
      <c r="B3" s="9">
        <v>0.61743055555555559</v>
      </c>
      <c r="C3" s="6">
        <v>2.265625</v>
      </c>
      <c r="D3" s="4">
        <v>548</v>
      </c>
      <c r="E3" s="4" t="s">
        <v>24</v>
      </c>
      <c r="F3" s="4" t="s">
        <v>24</v>
      </c>
      <c r="G3" s="4" t="s">
        <v>24</v>
      </c>
      <c r="I3">
        <f>91*(1023-I2)/I2</f>
        <v>80.14256825075833</v>
      </c>
    </row>
    <row r="4" spans="1:9" x14ac:dyDescent="0.2">
      <c r="A4" s="8">
        <v>46310</v>
      </c>
      <c r="B4" s="9">
        <v>0.61744212962962963</v>
      </c>
      <c r="C4" s="6">
        <v>2.765625</v>
      </c>
      <c r="D4" s="4">
        <v>547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0.61744212962962963</v>
      </c>
      <c r="C5" s="6">
        <v>3.28125</v>
      </c>
      <c r="D5" s="4">
        <v>547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46310</v>
      </c>
      <c r="B6" s="9">
        <v>0.61745370370370367</v>
      </c>
      <c r="C6" s="6">
        <v>3.8125</v>
      </c>
      <c r="D6" s="4">
        <v>547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46310</v>
      </c>
      <c r="B7" s="9">
        <v>0.61745370370370367</v>
      </c>
      <c r="C7" s="6">
        <v>4.3398440000000003</v>
      </c>
      <c r="D7" s="4">
        <v>547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46310</v>
      </c>
      <c r="B8" s="9">
        <v>0.61746527777777782</v>
      </c>
      <c r="C8" s="6">
        <v>4.8710940000000003</v>
      </c>
      <c r="D8" s="4">
        <v>543</v>
      </c>
      <c r="E8" s="4" t="s">
        <v>25</v>
      </c>
      <c r="F8" s="10">
        <v>0.55000000000000004</v>
      </c>
      <c r="G8" s="4" t="s">
        <v>26</v>
      </c>
    </row>
    <row r="9" spans="1:9" x14ac:dyDescent="0.2">
      <c r="A9" s="8">
        <v>46310</v>
      </c>
      <c r="B9" s="9">
        <v>0.61746527777777782</v>
      </c>
      <c r="C9" s="6">
        <v>5.4023440000000003</v>
      </c>
      <c r="D9" s="4">
        <v>543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0.61747685185185186</v>
      </c>
      <c r="C10" s="6">
        <v>5.890625</v>
      </c>
      <c r="D10" s="4">
        <v>542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46310</v>
      </c>
      <c r="B11" s="9">
        <v>0.61747685185185186</v>
      </c>
      <c r="C11" s="6">
        <v>6.390625</v>
      </c>
      <c r="D11" s="4">
        <v>541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46310</v>
      </c>
      <c r="B12" s="9">
        <v>0.6174884259259259</v>
      </c>
      <c r="C12" s="6">
        <v>6.890625</v>
      </c>
      <c r="D12" s="4">
        <v>543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46310</v>
      </c>
      <c r="B13" s="9">
        <v>0.61750000000000005</v>
      </c>
      <c r="C13" s="6">
        <v>7.90625</v>
      </c>
      <c r="D13" s="4">
        <v>544</v>
      </c>
      <c r="E13" s="4" t="s">
        <v>27</v>
      </c>
      <c r="F13" s="4" t="s">
        <v>27</v>
      </c>
      <c r="G13" s="4">
        <v>-237</v>
      </c>
    </row>
    <row r="14" spans="1:9" x14ac:dyDescent="0.2">
      <c r="A14" s="8">
        <v>46310</v>
      </c>
      <c r="B14" s="9">
        <v>0.61750000000000005</v>
      </c>
      <c r="C14" s="6">
        <v>8.4375</v>
      </c>
      <c r="D14" s="4">
        <v>539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46310</v>
      </c>
      <c r="B15" s="9">
        <v>0.61751157407407409</v>
      </c>
      <c r="C15" s="6">
        <v>8.96875</v>
      </c>
      <c r="D15" s="4">
        <v>544</v>
      </c>
      <c r="E15" s="4" t="s">
        <v>25</v>
      </c>
      <c r="F15" s="10">
        <v>0.55000000000000004</v>
      </c>
      <c r="G15" s="4" t="s">
        <v>26</v>
      </c>
    </row>
    <row r="16" spans="1:9" x14ac:dyDescent="0.2">
      <c r="A16" s="8">
        <v>46310</v>
      </c>
      <c r="B16" s="9">
        <v>0.61751157407407409</v>
      </c>
      <c r="C16" s="6">
        <v>9.5</v>
      </c>
      <c r="D16" s="4">
        <v>544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0.61752314814814813</v>
      </c>
      <c r="C17" s="6">
        <v>10</v>
      </c>
      <c r="D17" s="4">
        <v>541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0.61752314814814813</v>
      </c>
      <c r="C18" s="6">
        <v>10.5</v>
      </c>
      <c r="D18" s="4">
        <v>540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0.61753472222222228</v>
      </c>
      <c r="C19" s="6">
        <v>11</v>
      </c>
      <c r="D19" s="4">
        <v>544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0.61754629629629632</v>
      </c>
      <c r="C20" s="6">
        <v>12.01563</v>
      </c>
      <c r="D20" s="4">
        <v>541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46310</v>
      </c>
      <c r="B21" s="9">
        <v>0.61754629629629632</v>
      </c>
      <c r="C21" s="6">
        <v>12.54688</v>
      </c>
      <c r="D21" s="4">
        <v>542</v>
      </c>
      <c r="E21" s="4" t="s">
        <v>27</v>
      </c>
      <c r="F21" s="4" t="s">
        <v>27</v>
      </c>
      <c r="G21" s="4">
        <v>3088</v>
      </c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86134-F584-4886-9459-F9528611D59F}">
  <dimension ref="A1:I22"/>
  <sheetViews>
    <sheetView workbookViewId="0">
      <selection activeCell="O23" sqref="O2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0.61875000000000002</v>
      </c>
      <c r="C2" s="6">
        <v>1.796875</v>
      </c>
      <c r="D2" s="4">
        <v>500</v>
      </c>
      <c r="E2" s="4" t="s">
        <v>24</v>
      </c>
      <c r="F2" s="4" t="s">
        <v>24</v>
      </c>
      <c r="G2" s="4" t="s">
        <v>24</v>
      </c>
      <c r="I2">
        <f>AVERAGE(D2:D21)</f>
        <v>499.45</v>
      </c>
    </row>
    <row r="3" spans="1:9" x14ac:dyDescent="0.2">
      <c r="A3" s="8">
        <v>46310</v>
      </c>
      <c r="B3" s="9">
        <v>0.61875000000000002</v>
      </c>
      <c r="C3" s="6">
        <v>2.28125</v>
      </c>
      <c r="D3" s="4">
        <v>497</v>
      </c>
      <c r="E3" s="4" t="s">
        <v>24</v>
      </c>
      <c r="F3" s="4" t="s">
        <v>24</v>
      </c>
      <c r="G3" s="4" t="s">
        <v>24</v>
      </c>
      <c r="I3">
        <f>91*(1023-I2)/I2</f>
        <v>95.391030133146458</v>
      </c>
    </row>
    <row r="4" spans="1:9" x14ac:dyDescent="0.2">
      <c r="A4" s="8">
        <v>46310</v>
      </c>
      <c r="B4" s="9">
        <v>0.61876157407407406</v>
      </c>
      <c r="C4" s="6">
        <v>2.78125</v>
      </c>
      <c r="D4" s="4">
        <v>496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0.6187731481481481</v>
      </c>
      <c r="C5" s="6">
        <v>3.796875</v>
      </c>
      <c r="D5" s="4">
        <v>502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46310</v>
      </c>
      <c r="B6" s="9">
        <v>0.61878472222222225</v>
      </c>
      <c r="C6" s="6">
        <v>4.3125</v>
      </c>
      <c r="D6" s="4">
        <v>500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46310</v>
      </c>
      <c r="B7" s="9">
        <v>0.61879629629629629</v>
      </c>
      <c r="C7" s="6">
        <v>5.359375</v>
      </c>
      <c r="D7" s="4">
        <v>498</v>
      </c>
      <c r="E7" s="4" t="s">
        <v>27</v>
      </c>
      <c r="F7" s="4" t="s">
        <v>27</v>
      </c>
      <c r="G7" s="4">
        <v>-237</v>
      </c>
    </row>
    <row r="8" spans="1:9" x14ac:dyDescent="0.2">
      <c r="A8" s="8">
        <v>46310</v>
      </c>
      <c r="B8" s="9">
        <v>0.61879629629629629</v>
      </c>
      <c r="C8" s="6">
        <v>5.875</v>
      </c>
      <c r="D8" s="4">
        <v>502</v>
      </c>
      <c r="E8" s="4" t="s">
        <v>27</v>
      </c>
      <c r="F8" s="4" t="s">
        <v>27</v>
      </c>
      <c r="G8" s="4">
        <v>4112</v>
      </c>
    </row>
    <row r="9" spans="1:9" x14ac:dyDescent="0.2">
      <c r="A9" s="8">
        <v>46310</v>
      </c>
      <c r="B9" s="9">
        <v>0.61880787037037033</v>
      </c>
      <c r="C9" s="6">
        <v>6.421875</v>
      </c>
      <c r="D9" s="4">
        <v>496</v>
      </c>
      <c r="E9" s="4" t="s">
        <v>25</v>
      </c>
      <c r="F9" s="10">
        <v>0.54</v>
      </c>
      <c r="G9" s="4" t="s">
        <v>26</v>
      </c>
    </row>
    <row r="10" spans="1:9" x14ac:dyDescent="0.2">
      <c r="A10" s="8">
        <v>46310</v>
      </c>
      <c r="B10" s="9">
        <v>0.61880787037037033</v>
      </c>
      <c r="C10" s="6">
        <v>6.9375</v>
      </c>
      <c r="D10" s="4">
        <v>497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46310</v>
      </c>
      <c r="B11" s="9">
        <v>0.61881944444444448</v>
      </c>
      <c r="C11" s="6">
        <v>7.4375</v>
      </c>
      <c r="D11" s="4">
        <v>502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46310</v>
      </c>
      <c r="B12" s="9">
        <v>0.61881944444444448</v>
      </c>
      <c r="C12" s="6">
        <v>7.9375</v>
      </c>
      <c r="D12" s="4">
        <v>495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46310</v>
      </c>
      <c r="B13" s="9">
        <v>0.61883101851851852</v>
      </c>
      <c r="C13" s="6">
        <v>8.4375</v>
      </c>
      <c r="D13" s="4">
        <v>501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0.61884259259259256</v>
      </c>
      <c r="C14" s="6">
        <v>9.4492189999999994</v>
      </c>
      <c r="D14" s="4">
        <v>502</v>
      </c>
      <c r="E14" s="4" t="s">
        <v>27</v>
      </c>
      <c r="F14" s="4" t="s">
        <v>27</v>
      </c>
      <c r="G14" s="4">
        <v>-237</v>
      </c>
    </row>
    <row r="15" spans="1:9" x14ac:dyDescent="0.2">
      <c r="A15" s="8">
        <v>46310</v>
      </c>
      <c r="B15" s="9">
        <v>0.61884259259259256</v>
      </c>
      <c r="C15" s="6">
        <v>9.9804689999999994</v>
      </c>
      <c r="D15" s="4">
        <v>502</v>
      </c>
      <c r="E15" s="4" t="s">
        <v>27</v>
      </c>
      <c r="F15" s="4" t="s">
        <v>27</v>
      </c>
      <c r="G15" s="4">
        <v>4112</v>
      </c>
    </row>
    <row r="16" spans="1:9" x14ac:dyDescent="0.2">
      <c r="A16" s="8">
        <v>46310</v>
      </c>
      <c r="B16" s="9">
        <v>0.61885416666666671</v>
      </c>
      <c r="C16" s="6">
        <v>10.51953</v>
      </c>
      <c r="D16" s="4">
        <v>498</v>
      </c>
      <c r="E16" s="4" t="s">
        <v>25</v>
      </c>
      <c r="F16" s="10">
        <v>0.54</v>
      </c>
      <c r="G16" s="4" t="s">
        <v>26</v>
      </c>
    </row>
    <row r="17" spans="1:7" x14ac:dyDescent="0.2">
      <c r="A17" s="8">
        <v>46310</v>
      </c>
      <c r="B17" s="9">
        <v>0.61885416666666671</v>
      </c>
      <c r="C17" s="6">
        <v>11.05078</v>
      </c>
      <c r="D17" s="4">
        <v>501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0.61886574074074074</v>
      </c>
      <c r="C18" s="6">
        <v>11.535159999999999</v>
      </c>
      <c r="D18" s="4">
        <v>497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0.61886574074074074</v>
      </c>
      <c r="C19" s="6">
        <v>12.035159999999999</v>
      </c>
      <c r="D19" s="4">
        <v>501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0.61887731481481478</v>
      </c>
      <c r="C20" s="6">
        <v>12.535159999999999</v>
      </c>
      <c r="D20" s="4">
        <v>500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46310</v>
      </c>
      <c r="B21" s="9">
        <v>0.61888888888888893</v>
      </c>
      <c r="C21" s="6">
        <v>13.566409999999999</v>
      </c>
      <c r="D21" s="4">
        <v>502</v>
      </c>
      <c r="E21" s="4" t="s">
        <v>27</v>
      </c>
      <c r="F21" s="4" t="s">
        <v>27</v>
      </c>
      <c r="G21" s="4">
        <v>-237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9D6D-052F-4D35-AF92-7856FA5F5AEC}">
  <dimension ref="A1:I21"/>
  <sheetViews>
    <sheetView tabSelected="1"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46310</v>
      </c>
      <c r="B2" s="9">
        <v>0.6215046296296296</v>
      </c>
      <c r="C2" s="6">
        <v>1.8125</v>
      </c>
      <c r="D2" s="4">
        <v>546</v>
      </c>
      <c r="E2" s="4" t="s">
        <v>24</v>
      </c>
      <c r="F2" s="4" t="s">
        <v>24</v>
      </c>
      <c r="G2" s="4" t="s">
        <v>24</v>
      </c>
      <c r="I2">
        <f>AVERAGE(D2:D21)</f>
        <v>545.6</v>
      </c>
    </row>
    <row r="3" spans="1:9" x14ac:dyDescent="0.2">
      <c r="A3" s="8">
        <v>46310</v>
      </c>
      <c r="B3" s="9">
        <v>0.62151620370370375</v>
      </c>
      <c r="C3" s="6">
        <v>2.28125</v>
      </c>
      <c r="D3" s="4">
        <v>542</v>
      </c>
      <c r="E3" s="4" t="s">
        <v>24</v>
      </c>
      <c r="F3" s="4" t="s">
        <v>24</v>
      </c>
      <c r="G3" s="4" t="s">
        <v>24</v>
      </c>
      <c r="I3">
        <f>91*(1023-I2)/I2</f>
        <v>79.625</v>
      </c>
    </row>
    <row r="4" spans="1:9" x14ac:dyDescent="0.2">
      <c r="A4" s="8">
        <v>46310</v>
      </c>
      <c r="B4" s="9">
        <v>0.62151620370370375</v>
      </c>
      <c r="C4" s="6">
        <v>2.78125</v>
      </c>
      <c r="D4" s="4">
        <v>547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46310</v>
      </c>
      <c r="B5" s="9">
        <v>0.62152777777777779</v>
      </c>
      <c r="C5" s="6">
        <v>3.296875</v>
      </c>
      <c r="D5" s="4">
        <v>545</v>
      </c>
      <c r="E5" s="4" t="s">
        <v>25</v>
      </c>
      <c r="F5" s="10">
        <v>0.56999999999999995</v>
      </c>
      <c r="G5" s="4" t="s">
        <v>26</v>
      </c>
    </row>
    <row r="6" spans="1:9" x14ac:dyDescent="0.2">
      <c r="A6" s="8">
        <v>46310</v>
      </c>
      <c r="B6" s="9">
        <v>0.62152777777777779</v>
      </c>
      <c r="C6" s="6">
        <v>3.8125</v>
      </c>
      <c r="D6" s="4">
        <v>547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46310</v>
      </c>
      <c r="B7" s="9">
        <v>0.62153935185185183</v>
      </c>
      <c r="C7" s="6">
        <v>4.328125</v>
      </c>
      <c r="D7" s="4">
        <v>543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46310</v>
      </c>
      <c r="B8" s="9">
        <v>0.62153935185185183</v>
      </c>
      <c r="C8" s="6">
        <v>4.828125</v>
      </c>
      <c r="D8" s="4">
        <v>543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46310</v>
      </c>
      <c r="B9" s="9">
        <v>0.62155092592592598</v>
      </c>
      <c r="C9" s="6">
        <v>5.328125</v>
      </c>
      <c r="D9" s="4">
        <v>546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46310</v>
      </c>
      <c r="B10" s="9">
        <v>0.62155092592592598</v>
      </c>
      <c r="C10" s="6">
        <v>5.84375</v>
      </c>
      <c r="D10" s="4">
        <v>543</v>
      </c>
      <c r="E10" s="4" t="s">
        <v>25</v>
      </c>
      <c r="F10" s="10">
        <v>0.56999999999999995</v>
      </c>
      <c r="G10" s="4" t="s">
        <v>26</v>
      </c>
    </row>
    <row r="11" spans="1:9" x14ac:dyDescent="0.2">
      <c r="A11" s="8">
        <v>46310</v>
      </c>
      <c r="B11" s="9">
        <v>0.62156250000000002</v>
      </c>
      <c r="C11" s="6">
        <v>6.359375</v>
      </c>
      <c r="D11" s="4">
        <v>545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46310</v>
      </c>
      <c r="B12" s="9">
        <v>0.62156250000000002</v>
      </c>
      <c r="C12" s="6">
        <v>6.859375</v>
      </c>
      <c r="D12" s="4">
        <v>543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46310</v>
      </c>
      <c r="B13" s="9">
        <v>0.62157407407407406</v>
      </c>
      <c r="C13" s="6">
        <v>7.359375</v>
      </c>
      <c r="D13" s="4">
        <v>548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46310</v>
      </c>
      <c r="B14" s="9">
        <v>0.62157407407407406</v>
      </c>
      <c r="C14" s="6">
        <v>7.859375</v>
      </c>
      <c r="D14" s="4">
        <v>547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46310</v>
      </c>
      <c r="B15" s="9">
        <v>0.6215856481481481</v>
      </c>
      <c r="C15" s="6">
        <v>8.390625</v>
      </c>
      <c r="D15" s="4">
        <v>549</v>
      </c>
      <c r="E15" s="4" t="s">
        <v>25</v>
      </c>
      <c r="F15" s="10">
        <v>0.56999999999999995</v>
      </c>
      <c r="G15" s="4" t="s">
        <v>26</v>
      </c>
    </row>
    <row r="16" spans="1:9" x14ac:dyDescent="0.2">
      <c r="A16" s="8">
        <v>46310</v>
      </c>
      <c r="B16" s="9">
        <v>0.6215856481481481</v>
      </c>
      <c r="C16" s="6">
        <v>8.90625</v>
      </c>
      <c r="D16" s="4">
        <v>545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46310</v>
      </c>
      <c r="B17" s="9">
        <v>0.62159722222222225</v>
      </c>
      <c r="C17" s="6">
        <v>9.40625</v>
      </c>
      <c r="D17" s="4">
        <v>544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46310</v>
      </c>
      <c r="B18" s="9">
        <v>0.62159722222222225</v>
      </c>
      <c r="C18" s="6">
        <v>9.90625</v>
      </c>
      <c r="D18" s="4">
        <v>544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46310</v>
      </c>
      <c r="B19" s="9">
        <v>0.62160879629629628</v>
      </c>
      <c r="C19" s="6">
        <v>10.40625</v>
      </c>
      <c r="D19" s="4">
        <v>548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46310</v>
      </c>
      <c r="B20" s="9">
        <v>0.62160879629629628</v>
      </c>
      <c r="C20" s="6">
        <v>10.9375</v>
      </c>
      <c r="D20" s="4">
        <v>548</v>
      </c>
      <c r="E20" s="4" t="s">
        <v>25</v>
      </c>
      <c r="F20" s="10">
        <v>0.56999999999999995</v>
      </c>
      <c r="G20" s="4" t="s">
        <v>26</v>
      </c>
    </row>
    <row r="21" spans="1:7" x14ac:dyDescent="0.2">
      <c r="A21" s="8">
        <v>46310</v>
      </c>
      <c r="B21" s="9">
        <v>0.62162037037037032</v>
      </c>
      <c r="C21" s="6">
        <v>11.45313</v>
      </c>
      <c r="D21" s="4">
        <v>549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>
      <c r="I2" t="e">
        <f>AVERAGE(D2:D21)</f>
        <v>#DIV/0!</v>
      </c>
    </row>
    <row r="3" spans="2:13" ht="12.75" customHeight="1" x14ac:dyDescent="0.2">
      <c r="B3" s="1" t="s">
        <v>0</v>
      </c>
      <c r="C3" s="3">
        <v>3</v>
      </c>
      <c r="E3" s="12" t="s">
        <v>3</v>
      </c>
      <c r="F3" s="13"/>
      <c r="I3" t="e">
        <f>91*(1023-I2)/I2</f>
        <v>#DIV/0!</v>
      </c>
    </row>
    <row r="4" spans="2:13" ht="12.75" customHeight="1" x14ac:dyDescent="0.2">
      <c r="B4" s="1" t="s">
        <v>1</v>
      </c>
      <c r="C4" s="3">
        <v>9600</v>
      </c>
      <c r="E4" s="14"/>
      <c r="F4" s="15"/>
    </row>
    <row r="5" spans="2:13" ht="12.75" customHeight="1" x14ac:dyDescent="0.2">
      <c r="B5" s="1" t="s">
        <v>2</v>
      </c>
      <c r="C5" s="2" t="b">
        <v>1</v>
      </c>
      <c r="E5" s="14"/>
      <c r="F5" s="15"/>
    </row>
    <row r="6" spans="2:13" ht="12.75" customHeight="1" x14ac:dyDescent="0.2">
      <c r="B6" s="1" t="s">
        <v>5</v>
      </c>
      <c r="C6" s="2" t="b">
        <v>1</v>
      </c>
      <c r="E6" s="14"/>
      <c r="F6" s="15"/>
    </row>
    <row r="7" spans="2:13" ht="12.75" customHeight="1" x14ac:dyDescent="0.2">
      <c r="B7" s="1" t="s">
        <v>6</v>
      </c>
      <c r="C7" s="2" t="b">
        <v>1</v>
      </c>
      <c r="E7" s="14"/>
      <c r="F7" s="15"/>
      <c r="M7" s="1"/>
    </row>
    <row r="8" spans="2:13" ht="12.75" customHeight="1" x14ac:dyDescent="0.2">
      <c r="B8" s="1" t="s">
        <v>7</v>
      </c>
      <c r="C8" s="2" t="b">
        <v>0</v>
      </c>
      <c r="E8" s="14"/>
      <c r="F8" s="15"/>
      <c r="L8" s="1"/>
      <c r="M8" s="1"/>
    </row>
    <row r="9" spans="2:13" ht="12.75" customHeight="1" x14ac:dyDescent="0.2">
      <c r="B9" s="1" t="s">
        <v>4</v>
      </c>
      <c r="C9" s="3" t="s">
        <v>35</v>
      </c>
      <c r="E9" s="14"/>
      <c r="F9" s="15"/>
      <c r="M9" s="1"/>
    </row>
    <row r="10" spans="2:13" ht="13.5" customHeight="1" x14ac:dyDescent="0.2">
      <c r="B10" s="1" t="s">
        <v>9</v>
      </c>
      <c r="C10" s="2" t="b">
        <v>1</v>
      </c>
      <c r="E10" s="14"/>
      <c r="F10" s="15"/>
    </row>
    <row r="11" spans="2:13" ht="13.5" customHeight="1" x14ac:dyDescent="0.2">
      <c r="B11" s="1" t="s">
        <v>8</v>
      </c>
      <c r="C11" s="2" t="b">
        <v>1</v>
      </c>
      <c r="E11" s="14"/>
      <c r="F11" s="15"/>
    </row>
    <row r="12" spans="2:13" ht="12.75" customHeight="1" x14ac:dyDescent="0.2">
      <c r="B12" s="1" t="s">
        <v>10</v>
      </c>
      <c r="C12" s="2" t="b">
        <v>1</v>
      </c>
      <c r="E12" s="14"/>
      <c r="F12" s="15"/>
    </row>
    <row r="13" spans="2:13" ht="12.75" customHeight="1" x14ac:dyDescent="0.2">
      <c r="B13" s="1" t="s">
        <v>11</v>
      </c>
      <c r="C13" s="2" t="b">
        <v>1</v>
      </c>
      <c r="E13" s="14"/>
      <c r="F13" s="15"/>
    </row>
    <row r="14" spans="2:13" ht="13.5" customHeight="1" x14ac:dyDescent="0.2">
      <c r="B14" s="1" t="s">
        <v>12</v>
      </c>
      <c r="C14" s="2">
        <v>536.25</v>
      </c>
      <c r="E14" s="14"/>
      <c r="F14" s="15"/>
    </row>
    <row r="15" spans="2:13" x14ac:dyDescent="0.2">
      <c r="B15" s="1" t="s">
        <v>13</v>
      </c>
      <c r="C15" s="3">
        <v>1024</v>
      </c>
      <c r="E15" s="14"/>
      <c r="F15" s="15"/>
    </row>
    <row r="16" spans="2:13" x14ac:dyDescent="0.2">
      <c r="B16" s="1" t="s">
        <v>14</v>
      </c>
      <c r="C16" s="3">
        <v>1024</v>
      </c>
      <c r="E16" s="14"/>
      <c r="F16" s="15"/>
    </row>
    <row r="17" spans="2:6" x14ac:dyDescent="0.2">
      <c r="B17" s="1" t="s">
        <v>15</v>
      </c>
      <c r="C17" s="3">
        <v>1024</v>
      </c>
      <c r="E17" s="14"/>
      <c r="F17" s="15"/>
    </row>
    <row r="18" spans="2:6" ht="13.5" thickBot="1" x14ac:dyDescent="0.25">
      <c r="B18" s="1" t="s">
        <v>16</v>
      </c>
      <c r="C18" s="3">
        <v>64</v>
      </c>
      <c r="E18" s="16"/>
      <c r="F18" s="17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溫度</vt:lpstr>
      <vt:lpstr>A2</vt:lpstr>
      <vt:lpstr>A3</vt:lpstr>
      <vt:lpstr>A4</vt:lpstr>
      <vt:lpstr>B2</vt:lpstr>
      <vt:lpstr>B3</vt:lpstr>
      <vt:lpstr>B4</vt:lpstr>
      <vt:lpstr>降溫30</vt:lpstr>
      <vt:lpstr>降溫40</vt:lpstr>
      <vt:lpstr>降溫50</vt:lpstr>
      <vt:lpstr>降溫60</vt:lpstr>
      <vt:lpstr>降溫70</vt:lpstr>
      <vt:lpstr>降溫80</vt:lpstr>
      <vt:lpstr>升溫30</vt:lpstr>
      <vt:lpstr>升溫40</vt:lpstr>
      <vt:lpstr>升溫50</vt:lpstr>
      <vt:lpstr>升溫60</vt:lpstr>
      <vt:lpstr>升溫70</vt:lpstr>
      <vt:lpstr>升溫80</vt:lpstr>
      <vt:lpstr>去離子空白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2026-10-15T06:55:27Z</dcterms:modified>
</cp:coreProperties>
</file>