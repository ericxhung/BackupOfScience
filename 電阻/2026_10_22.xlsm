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"/>
    </mc:Choice>
  </mc:AlternateContent>
  <xr:revisionPtr revIDLastSave="0" documentId="13_ncr:1_{7CAC8FFA-0517-4C3F-B962-75A8DE0B19DE}" xr6:coauthVersionLast="47" xr6:coauthVersionMax="47" xr10:uidLastSave="{00000000-0000-0000-0000-000000000000}"/>
  <bookViews>
    <workbookView xWindow="-120" yWindow="-120" windowWidth="20730" windowHeight="11160" tabRatio="795" activeTab="12" xr2:uid="{00000000-000D-0000-FFFF-FFFF00000000}"/>
  </bookViews>
  <sheets>
    <sheet name="溫度" sheetId="36" r:id="rId1"/>
    <sheet name="升溫30" sheetId="43" r:id="rId2"/>
    <sheet name="升溫40" sheetId="44" r:id="rId3"/>
    <sheet name="升溫50" sheetId="45" r:id="rId4"/>
    <sheet name="升溫60" sheetId="46" r:id="rId5"/>
    <sheet name="升溫70" sheetId="47" r:id="rId6"/>
    <sheet name="升溫80" sheetId="48" r:id="rId7"/>
    <sheet name="降溫30" sheetId="49" r:id="rId8"/>
    <sheet name="降溫40" sheetId="50" r:id="rId9"/>
    <sheet name="降溫50" sheetId="51" r:id="rId10"/>
    <sheet name="降溫60" sheetId="53" r:id="rId11"/>
    <sheet name="降溫70" sheetId="54" r:id="rId12"/>
    <sheet name="降溫80" sheetId="55" r:id="rId13"/>
    <sheet name="PLXDAQ_new_Settings" sheetId="6" state="hidden" r:id="rId1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" i="6" l="1"/>
  <c r="I2" i="6"/>
  <c r="I3" i="55"/>
  <c r="I2" i="55"/>
  <c r="I3" i="54"/>
  <c r="I2" i="54"/>
  <c r="I3" i="53"/>
  <c r="I2" i="53"/>
  <c r="I3" i="51"/>
  <c r="I2" i="51"/>
  <c r="I3" i="50"/>
  <c r="I2" i="50"/>
  <c r="I3" i="49"/>
  <c r="I2" i="49"/>
  <c r="I3" i="48"/>
  <c r="I2" i="48"/>
  <c r="I3" i="47"/>
  <c r="I2" i="47"/>
  <c r="I3" i="46"/>
  <c r="I2" i="46"/>
  <c r="I3" i="45"/>
  <c r="I2" i="45"/>
  <c r="I3" i="44"/>
  <c r="I2" i="44"/>
  <c r="I3" i="43"/>
  <c r="I2" i="43"/>
</calcChain>
</file>

<file path=xl/sharedStrings.xml><?xml version="1.0" encoding="utf-8"?>
<sst xmlns="http://schemas.openxmlformats.org/spreadsheetml/2006/main" count="772" uniqueCount="40">
  <si>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</si>
  <si>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</si>
  <si>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</si>
  <si>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</si>
  <si>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</si>
  <si>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</si>
  <si>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</si>
  <si>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</si>
  <si>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</si>
  <si>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</si>
  <si>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</si>
  <si>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</si>
  <si>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</si>
  <si>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</si>
  <si>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</si>
  <si>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</si>
  <si>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</si>
  <si>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</si>
  <si>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</si>
  <si>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</si>
  <si>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</si>
  <si>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</si>
  <si>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</si>
  <si>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</si>
  <si>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</si>
  <si>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26.00 C</t>
  </si>
  <si>
    <t>NULL</t>
  </si>
  <si>
    <t>Error</t>
  </si>
  <si>
    <t>Date</t>
    <phoneticPr fontId="4" type="noConversion"/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</si>
  <si>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</si>
  <si>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</si>
  <si>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</si>
  <si>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</si>
  <si>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</si>
  <si>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</si>
  <si>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  <phoneticPr fontId="4" type="noConversion"/>
  </si>
  <si>
    <t>26.00 C</t>
    <phoneticPr fontId="4" type="noConversion"/>
  </si>
  <si>
    <t>Error</t>
    <phoneticPr fontId="4" type="noConversion"/>
  </si>
  <si>
    <t>NULL</t>
    <phoneticPr fontId="4" type="noConversion"/>
  </si>
  <si>
    <t>降溫80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</si>
</sst>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G15"/>
  <sheetViews>
    <sheetView workbookViewId="0">
      <selection activeCell="E15" sqref="E15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46317</v>
      </c>
      <c r="B2" s="9">
        <v>0.57104166666666667</v>
      </c>
      <c r="C2" s="6">
        <v>1.859375</v>
      </c>
      <c r="D2" s="4">
        <v>0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46317</v>
      </c>
      <c r="B3" s="9">
        <v>0.57104166666666667</v>
      </c>
      <c r="C3" s="6">
        <v>2.28125</v>
      </c>
      <c r="D3" s="4">
        <v>0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46317</v>
      </c>
      <c r="B4" s="9">
        <v>0.57105324074074071</v>
      </c>
      <c r="C4" s="6">
        <v>2.78125</v>
      </c>
      <c r="D4" s="4">
        <v>2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46317</v>
      </c>
      <c r="B5" s="9">
        <v>0.57105324074074071</v>
      </c>
      <c r="C5" s="6">
        <v>3.296875</v>
      </c>
      <c r="D5" s="4">
        <v>3</v>
      </c>
      <c r="E5" s="4" t="s">
        <v>25</v>
      </c>
      <c r="F5" s="10">
        <v>0.64</v>
      </c>
      <c r="G5" s="4" t="s">
        <v>26</v>
      </c>
    </row>
    <row r="6" spans="1:7" x14ac:dyDescent="0.2">
      <c r="A6" s="8">
        <v>46317</v>
      </c>
      <c r="B6" s="9">
        <v>0.57106481481481486</v>
      </c>
      <c r="C6" s="6">
        <v>3.828125</v>
      </c>
      <c r="D6" s="4">
        <v>0</v>
      </c>
      <c r="E6" s="4" t="s">
        <v>24</v>
      </c>
      <c r="F6" s="4" t="s">
        <v>24</v>
      </c>
      <c r="G6" s="4" t="s">
        <v>24</v>
      </c>
    </row>
    <row r="7" spans="1:7" x14ac:dyDescent="0.2">
      <c r="A7" s="8">
        <v>46317</v>
      </c>
      <c r="B7" s="9">
        <v>0.57106481481481486</v>
      </c>
      <c r="C7" s="6">
        <v>4.328125</v>
      </c>
      <c r="D7" s="4">
        <v>0</v>
      </c>
      <c r="E7" s="4" t="s">
        <v>24</v>
      </c>
      <c r="F7" s="4" t="s">
        <v>24</v>
      </c>
      <c r="G7" s="4" t="s">
        <v>24</v>
      </c>
    </row>
    <row r="8" spans="1:7" x14ac:dyDescent="0.2">
      <c r="A8" s="8">
        <v>46317</v>
      </c>
      <c r="B8" s="9">
        <v>0.5710763888888889</v>
      </c>
      <c r="C8" s="6">
        <v>4.828125</v>
      </c>
      <c r="D8" s="4">
        <v>0</v>
      </c>
      <c r="E8" s="4" t="s">
        <v>24</v>
      </c>
      <c r="F8" s="4" t="s">
        <v>24</v>
      </c>
      <c r="G8" s="4" t="s">
        <v>24</v>
      </c>
    </row>
    <row r="9" spans="1:7" x14ac:dyDescent="0.2">
      <c r="A9" s="8">
        <v>46317</v>
      </c>
      <c r="B9" s="9">
        <v>0.5710763888888889</v>
      </c>
      <c r="C9" s="6">
        <v>5.328125</v>
      </c>
      <c r="D9" s="4">
        <v>0</v>
      </c>
      <c r="E9" s="4" t="s">
        <v>24</v>
      </c>
      <c r="F9" s="4" t="s">
        <v>24</v>
      </c>
      <c r="G9" s="4" t="s">
        <v>24</v>
      </c>
    </row>
    <row r="10" spans="1:7" x14ac:dyDescent="0.2">
      <c r="A10" s="8">
        <v>46317</v>
      </c>
      <c r="B10" s="9">
        <v>0.57108796296296294</v>
      </c>
      <c r="C10" s="6">
        <v>5.84375</v>
      </c>
      <c r="D10" s="4">
        <v>4</v>
      </c>
      <c r="E10" s="4" t="s">
        <v>25</v>
      </c>
      <c r="F10" s="10">
        <v>0.64</v>
      </c>
      <c r="G10" s="4" t="s">
        <v>26</v>
      </c>
    </row>
    <row r="11" spans="1:7" x14ac:dyDescent="0.2">
      <c r="A11" s="8">
        <v>46317</v>
      </c>
      <c r="B11" s="9">
        <v>0.57108796296296294</v>
      </c>
      <c r="C11" s="6">
        <v>6.359375</v>
      </c>
      <c r="D11" s="4">
        <v>0</v>
      </c>
      <c r="E11" s="4" t="s">
        <v>24</v>
      </c>
      <c r="F11" s="4" t="s">
        <v>24</v>
      </c>
      <c r="G11" s="4" t="s">
        <v>24</v>
      </c>
    </row>
    <row r="12" spans="1:7" x14ac:dyDescent="0.2">
      <c r="A12" s="8">
        <v>46317</v>
      </c>
      <c r="B12" s="9">
        <v>0.57109953703703709</v>
      </c>
      <c r="C12" s="6">
        <v>6.875</v>
      </c>
      <c r="D12" s="4">
        <v>3</v>
      </c>
      <c r="E12" s="4" t="s">
        <v>24</v>
      </c>
      <c r="F12" s="4" t="s">
        <v>24</v>
      </c>
      <c r="G12" s="4" t="s">
        <v>24</v>
      </c>
    </row>
    <row r="13" spans="1:7" x14ac:dyDescent="0.2">
      <c r="A13" s="8">
        <v>46317</v>
      </c>
      <c r="B13" s="9">
        <v>0.57109953703703709</v>
      </c>
      <c r="C13" s="6">
        <v>7.375</v>
      </c>
      <c r="D13" s="4">
        <v>0</v>
      </c>
      <c r="E13" s="4" t="s">
        <v>24</v>
      </c>
      <c r="F13" s="4" t="s">
        <v>24</v>
      </c>
      <c r="G13" s="4" t="s">
        <v>24</v>
      </c>
    </row>
    <row r="14" spans="1:7" x14ac:dyDescent="0.2">
      <c r="A14" s="8">
        <v>46317</v>
      </c>
      <c r="B14" s="9">
        <v>0.57111111111111112</v>
      </c>
      <c r="C14" s="6">
        <v>7.875</v>
      </c>
      <c r="D14" s="4">
        <v>0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46317</v>
      </c>
      <c r="B15" s="9">
        <v>0.57111111111111112</v>
      </c>
      <c r="C15" s="6">
        <v>8.390625</v>
      </c>
      <c r="D15" s="4">
        <v>2</v>
      </c>
      <c r="E15" s="4" t="s">
        <v>25</v>
      </c>
      <c r="F15" s="10">
        <v>0.64</v>
      </c>
      <c r="G15" s="4" t="s">
        <v>26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92773-D805-485F-B1EF-8409A38543DF}">
  <dimension ref="A1:I23"/>
  <sheetViews>
    <sheetView workbookViewId="0">
      <selection activeCell="C22" sqref="C22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46317</v>
      </c>
      <c r="B2" s="9">
        <v>0.58631944444444439</v>
      </c>
      <c r="C2" s="6">
        <v>1.8125</v>
      </c>
      <c r="D2" s="4">
        <v>620</v>
      </c>
      <c r="E2" s="4" t="s">
        <v>35</v>
      </c>
      <c r="F2" s="4" t="s">
        <v>35</v>
      </c>
      <c r="G2" s="4" t="s">
        <v>35</v>
      </c>
      <c r="I2">
        <f>AVERAGE(D2:D21)</f>
        <v>617.95000000000005</v>
      </c>
    </row>
    <row r="3" spans="1:9" x14ac:dyDescent="0.2">
      <c r="A3" s="8">
        <v>46317</v>
      </c>
      <c r="B3" s="9">
        <v>0.58631944444444439</v>
      </c>
      <c r="C3" s="6">
        <v>2.28125</v>
      </c>
      <c r="D3" s="4">
        <v>621</v>
      </c>
      <c r="E3" s="4" t="s">
        <v>35</v>
      </c>
      <c r="F3" s="4" t="s">
        <v>35</v>
      </c>
      <c r="G3" s="4" t="s">
        <v>35</v>
      </c>
      <c r="I3">
        <f>91*(1023-I2)/I2</f>
        <v>59.648110688567023</v>
      </c>
    </row>
    <row r="4" spans="1:9" x14ac:dyDescent="0.2">
      <c r="A4" s="8">
        <v>46317</v>
      </c>
      <c r="B4" s="9">
        <v>0.58633101851851854</v>
      </c>
      <c r="C4" s="6">
        <v>2.78125</v>
      </c>
      <c r="D4" s="4">
        <v>619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46317</v>
      </c>
      <c r="B5" s="9">
        <v>0.58633101851851854</v>
      </c>
      <c r="C5" s="6">
        <v>3.296875</v>
      </c>
      <c r="D5" s="4">
        <v>620</v>
      </c>
      <c r="E5" s="4" t="s">
        <v>36</v>
      </c>
      <c r="F5" s="10">
        <v>0.64</v>
      </c>
      <c r="G5" s="4" t="s">
        <v>38</v>
      </c>
    </row>
    <row r="6" spans="1:9" x14ac:dyDescent="0.2">
      <c r="A6" s="8">
        <v>46317</v>
      </c>
      <c r="B6" s="9">
        <v>0.58634259259259258</v>
      </c>
      <c r="C6" s="6">
        <v>3.828125</v>
      </c>
      <c r="D6" s="4">
        <v>620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46317</v>
      </c>
      <c r="B7" s="9">
        <v>0.58634259259259258</v>
      </c>
      <c r="C7" s="6">
        <v>4.328125</v>
      </c>
      <c r="D7" s="4">
        <v>621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46317</v>
      </c>
      <c r="B8" s="9">
        <v>0.58635416666666662</v>
      </c>
      <c r="C8" s="6">
        <v>4.828125</v>
      </c>
      <c r="D8" s="4">
        <v>618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46317</v>
      </c>
      <c r="B9" s="9">
        <v>0.58635416666666662</v>
      </c>
      <c r="C9" s="6">
        <v>5.328125</v>
      </c>
      <c r="D9" s="4">
        <v>615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46317</v>
      </c>
      <c r="B10" s="9">
        <v>0.58636574074074077</v>
      </c>
      <c r="C10" s="6">
        <v>6.34375</v>
      </c>
      <c r="D10" s="4">
        <v>619</v>
      </c>
      <c r="E10" s="4" t="s">
        <v>37</v>
      </c>
      <c r="F10" s="10" t="s">
        <v>27</v>
      </c>
      <c r="G10" s="4">
        <v>-237</v>
      </c>
    </row>
    <row r="11" spans="1:9" x14ac:dyDescent="0.2">
      <c r="A11" s="8">
        <v>46317</v>
      </c>
      <c r="B11" s="9">
        <v>0.58637731481481481</v>
      </c>
      <c r="C11" s="6">
        <v>6.859375</v>
      </c>
      <c r="D11" s="4">
        <v>616</v>
      </c>
      <c r="E11" s="4" t="s">
        <v>37</v>
      </c>
      <c r="F11" s="4" t="s">
        <v>37</v>
      </c>
      <c r="G11" s="4">
        <v>4112</v>
      </c>
    </row>
    <row r="12" spans="1:9" x14ac:dyDescent="0.2">
      <c r="A12" s="8">
        <v>46317</v>
      </c>
      <c r="B12" s="9">
        <v>0.58637731481481481</v>
      </c>
      <c r="C12" s="6">
        <v>7.40625</v>
      </c>
      <c r="D12" s="4">
        <v>616</v>
      </c>
      <c r="E12" s="4" t="s">
        <v>36</v>
      </c>
      <c r="F12" s="10">
        <v>0.63</v>
      </c>
      <c r="G12" s="4" t="s">
        <v>38</v>
      </c>
    </row>
    <row r="13" spans="1:9" x14ac:dyDescent="0.2">
      <c r="A13" s="8">
        <v>46317</v>
      </c>
      <c r="B13" s="9">
        <v>0.58638888888888885</v>
      </c>
      <c r="C13" s="6">
        <v>7.921875</v>
      </c>
      <c r="D13" s="4">
        <v>618</v>
      </c>
      <c r="E13" s="4" t="s">
        <v>35</v>
      </c>
      <c r="F13" s="4" t="s">
        <v>35</v>
      </c>
      <c r="G13" s="4" t="s">
        <v>35</v>
      </c>
    </row>
    <row r="14" spans="1:9" x14ac:dyDescent="0.2">
      <c r="A14" s="8">
        <v>46317</v>
      </c>
      <c r="B14" s="9">
        <v>0.58638888888888885</v>
      </c>
      <c r="C14" s="6">
        <v>8.421875</v>
      </c>
      <c r="D14" s="4">
        <v>616</v>
      </c>
      <c r="E14" s="4" t="s">
        <v>35</v>
      </c>
      <c r="F14" s="4" t="s">
        <v>35</v>
      </c>
      <c r="G14" s="4" t="s">
        <v>35</v>
      </c>
    </row>
    <row r="15" spans="1:9" x14ac:dyDescent="0.2">
      <c r="A15" s="8">
        <v>46317</v>
      </c>
      <c r="B15" s="9">
        <v>0.586400462962963</v>
      </c>
      <c r="C15" s="6">
        <v>8.921875</v>
      </c>
      <c r="D15" s="4">
        <v>618</v>
      </c>
      <c r="E15" s="4" t="s">
        <v>35</v>
      </c>
      <c r="F15" s="4" t="s">
        <v>35</v>
      </c>
      <c r="G15" s="4" t="s">
        <v>24</v>
      </c>
    </row>
    <row r="16" spans="1:9" x14ac:dyDescent="0.2">
      <c r="A16" s="8">
        <v>46317</v>
      </c>
      <c r="B16" s="9">
        <v>0.586400462962963</v>
      </c>
      <c r="C16" s="6">
        <v>9.4375</v>
      </c>
      <c r="D16" s="4">
        <v>616</v>
      </c>
      <c r="E16" s="4" t="s">
        <v>35</v>
      </c>
      <c r="F16" s="4" t="s">
        <v>35</v>
      </c>
      <c r="G16" s="4" t="s">
        <v>24</v>
      </c>
    </row>
    <row r="17" spans="1:7" x14ac:dyDescent="0.2">
      <c r="A17" s="8">
        <v>46317</v>
      </c>
      <c r="B17" s="9">
        <v>0.58641203703703704</v>
      </c>
      <c r="C17" s="6">
        <v>9.953125</v>
      </c>
      <c r="D17" s="4">
        <v>617</v>
      </c>
      <c r="E17" s="4" t="s">
        <v>36</v>
      </c>
      <c r="F17" s="10">
        <v>0.63</v>
      </c>
      <c r="G17" s="4" t="s">
        <v>38</v>
      </c>
    </row>
    <row r="18" spans="1:7" x14ac:dyDescent="0.2">
      <c r="A18" s="8">
        <v>46317</v>
      </c>
      <c r="B18" s="9">
        <v>0.58641203703703704</v>
      </c>
      <c r="C18" s="6">
        <v>10.46875</v>
      </c>
      <c r="D18" s="4">
        <v>616</v>
      </c>
      <c r="E18" s="4" t="s">
        <v>35</v>
      </c>
      <c r="F18" s="4" t="s">
        <v>35</v>
      </c>
      <c r="G18" s="4" t="s">
        <v>35</v>
      </c>
    </row>
    <row r="19" spans="1:7" x14ac:dyDescent="0.2">
      <c r="A19" s="8">
        <v>46317</v>
      </c>
      <c r="B19" s="9">
        <v>0.58642361111111108</v>
      </c>
      <c r="C19" s="6">
        <v>10.96875</v>
      </c>
      <c r="D19" s="4">
        <v>617</v>
      </c>
      <c r="E19" s="4" t="s">
        <v>35</v>
      </c>
      <c r="F19" s="4" t="s">
        <v>35</v>
      </c>
      <c r="G19" s="4" t="s">
        <v>35</v>
      </c>
    </row>
    <row r="20" spans="1:7" x14ac:dyDescent="0.2">
      <c r="A20" s="8">
        <v>46317</v>
      </c>
      <c r="B20" s="9">
        <v>0.58642361111111108</v>
      </c>
      <c r="C20" s="6">
        <v>11.46875</v>
      </c>
      <c r="D20" s="4">
        <v>616</v>
      </c>
      <c r="E20" s="4" t="s">
        <v>35</v>
      </c>
      <c r="F20" s="10" t="s">
        <v>35</v>
      </c>
      <c r="G20" s="4" t="s">
        <v>35</v>
      </c>
    </row>
    <row r="21" spans="1:7" x14ac:dyDescent="0.2">
      <c r="A21" s="8">
        <v>46317</v>
      </c>
      <c r="B21" s="9">
        <v>0.58643518518518523</v>
      </c>
      <c r="C21" s="6">
        <v>11.96875</v>
      </c>
      <c r="D21" s="4">
        <v>620</v>
      </c>
      <c r="E21" s="4" t="s">
        <v>35</v>
      </c>
      <c r="F21" s="4" t="s">
        <v>35</v>
      </c>
      <c r="G21" s="4" t="s">
        <v>35</v>
      </c>
    </row>
    <row r="22" spans="1:7" x14ac:dyDescent="0.2">
      <c r="A22" s="8"/>
      <c r="B22" s="9"/>
    </row>
    <row r="23" spans="1:7" x14ac:dyDescent="0.2">
      <c r="A23" s="8"/>
      <c r="B23" s="9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2A9BD-A8A6-4030-BCE0-730F5AF5800A}">
  <dimension ref="A1:I21"/>
  <sheetViews>
    <sheetView workbookViewId="0">
      <selection activeCell="E25" sqref="E25"/>
    </sheetView>
  </sheetViews>
  <sheetFormatPr defaultRowHeight="12.75" x14ac:dyDescent="0.2"/>
  <cols>
    <col min="1" max="1" width="9.140625" style="4"/>
    <col min="2" max="2" width="18.85546875" style="4" customWidth="1"/>
    <col min="3" max="3" width="9.7109375" style="6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46317</v>
      </c>
      <c r="B2" s="9">
        <v>0.58815972222222224</v>
      </c>
      <c r="C2" s="6">
        <v>1.800781</v>
      </c>
      <c r="D2" s="4">
        <v>509</v>
      </c>
      <c r="E2" s="4" t="s">
        <v>35</v>
      </c>
      <c r="F2" s="4" t="s">
        <v>35</v>
      </c>
      <c r="G2" s="4" t="s">
        <v>35</v>
      </c>
      <c r="I2">
        <f>AVERAGE(D2:D21)</f>
        <v>513.04999999999995</v>
      </c>
    </row>
    <row r="3" spans="1:9" x14ac:dyDescent="0.2">
      <c r="A3" s="8">
        <v>46317</v>
      </c>
      <c r="B3" s="9">
        <v>0.58815972222222224</v>
      </c>
      <c r="C3" s="6">
        <v>2.28125</v>
      </c>
      <c r="D3" s="4">
        <v>512</v>
      </c>
      <c r="E3" s="4" t="s">
        <v>35</v>
      </c>
      <c r="F3" s="4" t="s">
        <v>35</v>
      </c>
      <c r="G3" s="4" t="s">
        <v>35</v>
      </c>
      <c r="I3">
        <f>91*(1023-I2)/I2</f>
        <v>90.450151057401825</v>
      </c>
    </row>
    <row r="4" spans="1:9" x14ac:dyDescent="0.2">
      <c r="A4" s="8">
        <v>46317</v>
      </c>
      <c r="B4" s="9">
        <v>0.58815972222222224</v>
      </c>
      <c r="C4" s="6">
        <v>2.78125</v>
      </c>
      <c r="D4" s="4">
        <v>511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46317</v>
      </c>
      <c r="B5" s="9">
        <v>0.58817129629629628</v>
      </c>
      <c r="C5" s="6">
        <v>3.3007810000000002</v>
      </c>
      <c r="D5" s="4">
        <v>513</v>
      </c>
      <c r="E5" s="4" t="s">
        <v>37</v>
      </c>
      <c r="F5" s="4" t="s">
        <v>37</v>
      </c>
      <c r="G5" s="4">
        <v>21</v>
      </c>
    </row>
    <row r="6" spans="1:9" x14ac:dyDescent="0.2">
      <c r="A6" s="8">
        <v>46317</v>
      </c>
      <c r="B6" s="9">
        <v>0.58818287037037043</v>
      </c>
      <c r="C6" s="6">
        <v>3.8125</v>
      </c>
      <c r="D6" s="4">
        <v>512</v>
      </c>
      <c r="E6" s="4" t="s">
        <v>37</v>
      </c>
      <c r="F6" s="4" t="s">
        <v>37</v>
      </c>
      <c r="G6" s="4">
        <v>4112</v>
      </c>
    </row>
    <row r="7" spans="1:9" x14ac:dyDescent="0.2">
      <c r="A7" s="8">
        <v>46317</v>
      </c>
      <c r="B7" s="9">
        <v>0.58818287037037043</v>
      </c>
      <c r="C7" s="6">
        <v>4.34375</v>
      </c>
      <c r="D7" s="4">
        <v>514</v>
      </c>
      <c r="E7" s="4" t="s">
        <v>37</v>
      </c>
      <c r="F7" s="4" t="s">
        <v>37</v>
      </c>
      <c r="G7" s="4">
        <v>4112</v>
      </c>
    </row>
    <row r="8" spans="1:9" x14ac:dyDescent="0.2">
      <c r="A8" s="8">
        <v>46317</v>
      </c>
      <c r="B8" s="9">
        <v>0.58819444444444446</v>
      </c>
      <c r="C8" s="6">
        <v>4.8789059999999997</v>
      </c>
      <c r="D8" s="4">
        <v>510</v>
      </c>
      <c r="E8" s="4" t="s">
        <v>36</v>
      </c>
      <c r="F8" s="10">
        <v>0.64</v>
      </c>
      <c r="G8" s="4" t="s">
        <v>26</v>
      </c>
    </row>
    <row r="9" spans="1:9" x14ac:dyDescent="0.2">
      <c r="A9" s="8">
        <v>46317</v>
      </c>
      <c r="B9" s="9">
        <v>0.58819444444444446</v>
      </c>
      <c r="C9" s="6">
        <v>5.40625</v>
      </c>
      <c r="D9" s="4">
        <v>512</v>
      </c>
      <c r="E9" s="4" t="s">
        <v>35</v>
      </c>
      <c r="F9" s="4" t="s">
        <v>35</v>
      </c>
      <c r="G9" s="4" t="s">
        <v>24</v>
      </c>
    </row>
    <row r="10" spans="1:9" x14ac:dyDescent="0.2">
      <c r="A10" s="8">
        <v>46317</v>
      </c>
      <c r="B10" s="9">
        <v>0.5882060185185185</v>
      </c>
      <c r="C10" s="6">
        <v>5.90625</v>
      </c>
      <c r="D10" s="4">
        <v>515</v>
      </c>
      <c r="E10" s="4" t="s">
        <v>35</v>
      </c>
      <c r="F10" s="4" t="s">
        <v>35</v>
      </c>
      <c r="G10" s="4" t="s">
        <v>24</v>
      </c>
    </row>
    <row r="11" spans="1:9" x14ac:dyDescent="0.2">
      <c r="A11" s="8">
        <v>46317</v>
      </c>
      <c r="B11" s="9">
        <v>0.5882060185185185</v>
      </c>
      <c r="C11" s="6">
        <v>6.40625</v>
      </c>
      <c r="D11" s="4">
        <v>512</v>
      </c>
      <c r="E11" s="4" t="s">
        <v>35</v>
      </c>
      <c r="F11" s="4" t="s">
        <v>35</v>
      </c>
      <c r="G11" s="4" t="s">
        <v>24</v>
      </c>
    </row>
    <row r="12" spans="1:9" x14ac:dyDescent="0.2">
      <c r="A12" s="8">
        <v>46317</v>
      </c>
      <c r="B12" s="9">
        <v>0.58821759259259254</v>
      </c>
      <c r="C12" s="6">
        <v>6.90625</v>
      </c>
      <c r="D12" s="4">
        <v>511</v>
      </c>
      <c r="E12" s="4" t="s">
        <v>35</v>
      </c>
      <c r="F12" s="4" t="s">
        <v>35</v>
      </c>
      <c r="G12" s="4" t="s">
        <v>24</v>
      </c>
    </row>
    <row r="13" spans="1:9" x14ac:dyDescent="0.2">
      <c r="A13" s="8">
        <v>46317</v>
      </c>
      <c r="B13" s="9">
        <v>0.58821759259259254</v>
      </c>
      <c r="C13" s="6">
        <v>7.421875</v>
      </c>
      <c r="D13" s="4">
        <v>511</v>
      </c>
      <c r="E13" s="4" t="s">
        <v>36</v>
      </c>
      <c r="F13" s="10">
        <v>0.64</v>
      </c>
      <c r="G13" s="4" t="s">
        <v>26</v>
      </c>
    </row>
    <row r="14" spans="1:9" x14ac:dyDescent="0.2">
      <c r="A14" s="8">
        <v>46317</v>
      </c>
      <c r="B14" s="9">
        <v>0.58822916666666669</v>
      </c>
      <c r="C14" s="6">
        <v>7.9375</v>
      </c>
      <c r="D14" s="4">
        <v>516</v>
      </c>
      <c r="E14" s="4" t="s">
        <v>35</v>
      </c>
      <c r="F14" s="4" t="s">
        <v>35</v>
      </c>
      <c r="G14" s="4" t="s">
        <v>24</v>
      </c>
    </row>
    <row r="15" spans="1:9" x14ac:dyDescent="0.2">
      <c r="A15" s="8">
        <v>46317</v>
      </c>
      <c r="B15" s="9">
        <v>0.58822916666666669</v>
      </c>
      <c r="C15" s="6">
        <v>8.4375</v>
      </c>
      <c r="D15" s="4">
        <v>516</v>
      </c>
      <c r="E15" s="4" t="s">
        <v>35</v>
      </c>
      <c r="F15" s="4" t="s">
        <v>35</v>
      </c>
      <c r="G15" s="4" t="s">
        <v>24</v>
      </c>
    </row>
    <row r="16" spans="1:9" x14ac:dyDescent="0.2">
      <c r="A16" s="8">
        <v>46317</v>
      </c>
      <c r="B16" s="9">
        <v>0.58824074074074073</v>
      </c>
      <c r="C16" s="6">
        <v>8.9375</v>
      </c>
      <c r="D16" s="4">
        <v>512</v>
      </c>
      <c r="E16" s="4" t="s">
        <v>35</v>
      </c>
      <c r="F16" s="4" t="s">
        <v>35</v>
      </c>
      <c r="G16" s="4" t="s">
        <v>24</v>
      </c>
    </row>
    <row r="17" spans="1:7" x14ac:dyDescent="0.2">
      <c r="A17" s="8">
        <v>46317</v>
      </c>
      <c r="B17" s="9">
        <v>0.58824074074074073</v>
      </c>
      <c r="C17" s="6">
        <v>9.4375</v>
      </c>
      <c r="D17" s="4">
        <v>518</v>
      </c>
      <c r="E17" s="4" t="s">
        <v>35</v>
      </c>
      <c r="F17" s="4" t="s">
        <v>35</v>
      </c>
      <c r="G17" s="4" t="s">
        <v>24</v>
      </c>
    </row>
    <row r="18" spans="1:7" x14ac:dyDescent="0.2">
      <c r="A18" s="8">
        <v>46317</v>
      </c>
      <c r="B18" s="9">
        <v>0.58825231481481477</v>
      </c>
      <c r="C18" s="6">
        <v>10.45313</v>
      </c>
      <c r="D18" s="4">
        <v>514</v>
      </c>
      <c r="E18" s="4" t="s">
        <v>37</v>
      </c>
      <c r="F18" s="4" t="s">
        <v>37</v>
      </c>
      <c r="G18" s="4">
        <v>-237</v>
      </c>
    </row>
    <row r="19" spans="1:7" x14ac:dyDescent="0.2">
      <c r="A19" s="8">
        <v>46317</v>
      </c>
      <c r="B19" s="9">
        <v>0.58826388888888892</v>
      </c>
      <c r="C19" s="6">
        <v>10.98438</v>
      </c>
      <c r="D19" s="4">
        <v>514</v>
      </c>
      <c r="E19" s="4" t="s">
        <v>37</v>
      </c>
      <c r="F19" s="4" t="s">
        <v>37</v>
      </c>
      <c r="G19" s="4">
        <v>3088</v>
      </c>
    </row>
    <row r="20" spans="1:7" x14ac:dyDescent="0.2">
      <c r="A20" s="8">
        <v>46317</v>
      </c>
      <c r="B20" s="9">
        <v>0.58826388888888892</v>
      </c>
      <c r="C20" s="6">
        <v>11.53125</v>
      </c>
      <c r="D20" s="4">
        <v>511</v>
      </c>
      <c r="E20" s="4" t="s">
        <v>36</v>
      </c>
      <c r="F20" s="10">
        <v>0.64</v>
      </c>
      <c r="G20" s="4" t="s">
        <v>26</v>
      </c>
    </row>
    <row r="21" spans="1:7" x14ac:dyDescent="0.2">
      <c r="A21" s="8">
        <v>46317</v>
      </c>
      <c r="B21" s="9">
        <v>0.58827546296296296</v>
      </c>
      <c r="C21" s="6">
        <v>12.04688</v>
      </c>
      <c r="D21" s="4">
        <v>518</v>
      </c>
      <c r="E21" s="4" t="s">
        <v>35</v>
      </c>
      <c r="F21" s="4" t="s">
        <v>35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09436-2757-472D-95E9-2FCE11B41315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46317</v>
      </c>
      <c r="B2" s="9">
        <v>0.5838888888888889</v>
      </c>
      <c r="C2" s="6">
        <v>1.808594</v>
      </c>
      <c r="D2" s="4">
        <v>539</v>
      </c>
      <c r="E2" s="4" t="s">
        <v>24</v>
      </c>
      <c r="F2" s="4" t="s">
        <v>24</v>
      </c>
      <c r="G2" s="4" t="s">
        <v>24</v>
      </c>
      <c r="I2">
        <f>AVERAGE(D2:D21)</f>
        <v>543.5</v>
      </c>
    </row>
    <row r="3" spans="1:9" x14ac:dyDescent="0.2">
      <c r="A3" s="8">
        <v>46317</v>
      </c>
      <c r="B3" s="9">
        <v>0.58390046296296294</v>
      </c>
      <c r="C3" s="6">
        <v>2.28125</v>
      </c>
      <c r="D3" s="4">
        <v>542</v>
      </c>
      <c r="E3" s="4" t="s">
        <v>24</v>
      </c>
      <c r="F3" s="4" t="s">
        <v>24</v>
      </c>
      <c r="G3" s="4" t="s">
        <v>24</v>
      </c>
      <c r="I3">
        <f>91*(1023-I2)/I2</f>
        <v>80.284268629254825</v>
      </c>
    </row>
    <row r="4" spans="1:9" x14ac:dyDescent="0.2">
      <c r="A4" s="8">
        <v>46317</v>
      </c>
      <c r="B4" s="9">
        <v>0.58390046296296294</v>
      </c>
      <c r="C4" s="6">
        <v>2.78125</v>
      </c>
      <c r="D4" s="4">
        <v>540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46317</v>
      </c>
      <c r="B5" s="9">
        <v>0.58391203703703709</v>
      </c>
      <c r="C5" s="6">
        <v>3.2929689999999998</v>
      </c>
      <c r="D5" s="4">
        <v>541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46317</v>
      </c>
      <c r="B6" s="9">
        <v>0.58391203703703709</v>
      </c>
      <c r="C6" s="6">
        <v>3.8242189999999998</v>
      </c>
      <c r="D6" s="4">
        <v>543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46317</v>
      </c>
      <c r="B7" s="9">
        <v>0.58392361111111113</v>
      </c>
      <c r="C7" s="6">
        <v>4.3398440000000003</v>
      </c>
      <c r="D7" s="4">
        <v>542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46317</v>
      </c>
      <c r="B8" s="9">
        <v>0.58392361111111113</v>
      </c>
      <c r="C8" s="6">
        <v>4.8710940000000003</v>
      </c>
      <c r="D8" s="4">
        <v>547</v>
      </c>
      <c r="E8" s="4" t="s">
        <v>25</v>
      </c>
      <c r="F8" s="10">
        <v>0.64</v>
      </c>
      <c r="G8" s="4" t="s">
        <v>26</v>
      </c>
    </row>
    <row r="9" spans="1:9" x14ac:dyDescent="0.2">
      <c r="A9" s="8">
        <v>46317</v>
      </c>
      <c r="B9" s="9">
        <v>0.58393518518518517</v>
      </c>
      <c r="C9" s="6">
        <v>5.4023440000000003</v>
      </c>
      <c r="D9" s="4">
        <v>547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46317</v>
      </c>
      <c r="B10" s="9">
        <v>0.58393518518518517</v>
      </c>
      <c r="C10" s="6">
        <v>5.9023440000000003</v>
      </c>
      <c r="D10" s="4">
        <v>544</v>
      </c>
      <c r="E10" s="4" t="s">
        <v>24</v>
      </c>
      <c r="F10" s="4" t="s">
        <v>24</v>
      </c>
      <c r="G10" s="4" t="s">
        <v>24</v>
      </c>
    </row>
    <row r="11" spans="1:9" x14ac:dyDescent="0.2">
      <c r="A11" s="8">
        <v>46317</v>
      </c>
      <c r="B11" s="9">
        <v>0.58394675925925921</v>
      </c>
      <c r="C11" s="6">
        <v>6.4023440000000003</v>
      </c>
      <c r="D11" s="4">
        <v>542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46317</v>
      </c>
      <c r="B12" s="9">
        <v>0.58394675925925921</v>
      </c>
      <c r="C12" s="6">
        <v>6.9101559999999997</v>
      </c>
      <c r="D12" s="4">
        <v>541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46317</v>
      </c>
      <c r="B13" s="9">
        <v>0.58395833333333336</v>
      </c>
      <c r="C13" s="6">
        <v>7.9140629999999996</v>
      </c>
      <c r="D13" s="4">
        <v>541</v>
      </c>
      <c r="E13" s="4" t="s">
        <v>27</v>
      </c>
      <c r="F13" s="4" t="s">
        <v>27</v>
      </c>
      <c r="G13" s="4">
        <v>-237</v>
      </c>
    </row>
    <row r="14" spans="1:9" x14ac:dyDescent="0.2">
      <c r="A14" s="8">
        <v>46317</v>
      </c>
      <c r="B14" s="9">
        <v>0.5839699074074074</v>
      </c>
      <c r="C14" s="6">
        <v>8.4453130000000005</v>
      </c>
      <c r="D14" s="4">
        <v>546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46317</v>
      </c>
      <c r="B15" s="9">
        <v>0.58398148148148143</v>
      </c>
      <c r="C15" s="6">
        <v>9.4765630000000005</v>
      </c>
      <c r="D15" s="4">
        <v>543</v>
      </c>
      <c r="E15" s="4" t="s">
        <v>27</v>
      </c>
      <c r="F15" s="4" t="s">
        <v>27</v>
      </c>
      <c r="G15" s="4">
        <v>-237</v>
      </c>
    </row>
    <row r="16" spans="1:9" x14ac:dyDescent="0.2">
      <c r="A16" s="8">
        <v>46317</v>
      </c>
      <c r="B16" s="9">
        <v>0.58398148148148143</v>
      </c>
      <c r="C16" s="6">
        <v>10.007809999999999</v>
      </c>
      <c r="D16" s="4">
        <v>548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46317</v>
      </c>
      <c r="B17" s="9">
        <v>0.58399305555555558</v>
      </c>
      <c r="C17" s="6">
        <v>10.554690000000001</v>
      </c>
      <c r="D17" s="4">
        <v>548</v>
      </c>
      <c r="E17" s="4" t="s">
        <v>25</v>
      </c>
      <c r="F17" s="10">
        <v>0.64</v>
      </c>
      <c r="G17" s="4" t="s">
        <v>26</v>
      </c>
    </row>
    <row r="18" spans="1:7" x14ac:dyDescent="0.2">
      <c r="A18" s="8">
        <v>46317</v>
      </c>
      <c r="B18" s="9">
        <v>0.58399305555555558</v>
      </c>
      <c r="C18" s="6">
        <v>11.070309999999999</v>
      </c>
      <c r="D18" s="4">
        <v>542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46317</v>
      </c>
      <c r="B19" s="9">
        <v>0.58400462962962962</v>
      </c>
      <c r="C19" s="6">
        <v>11.570309999999999</v>
      </c>
      <c r="D19" s="4">
        <v>543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46317</v>
      </c>
      <c r="B20" s="9">
        <v>0.58400462962962962</v>
      </c>
      <c r="C20" s="6">
        <v>12.070309999999999</v>
      </c>
      <c r="D20" s="4">
        <v>548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46317</v>
      </c>
      <c r="B21" s="9">
        <v>0.58401620370370366</v>
      </c>
      <c r="C21" s="6">
        <v>12.570309999999999</v>
      </c>
      <c r="D21" s="4">
        <v>543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17A4D-CB20-4F38-A15C-38AA8AED4761}">
  <dimension ref="A1:I21"/>
  <sheetViews>
    <sheetView workbookViewId="0">
      <selection activeCell="O10" sqref="O10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46317</v>
      </c>
      <c r="B2" s="9">
        <v>0.59916666666666663</v>
      </c>
      <c r="C2" s="6">
        <v>1.8125</v>
      </c>
      <c r="D2" s="4">
        <v>459</v>
      </c>
      <c r="E2" s="4" t="s">
        <v>24</v>
      </c>
      <c r="F2" s="4" t="s">
        <v>24</v>
      </c>
      <c r="G2" s="4" t="s">
        <v>24</v>
      </c>
      <c r="I2">
        <f>AVERAGE(D2:D21)</f>
        <v>463.4</v>
      </c>
    </row>
    <row r="3" spans="1:9" x14ac:dyDescent="0.2">
      <c r="A3" s="8">
        <v>46317</v>
      </c>
      <c r="B3" s="9">
        <v>0.59916666666666663</v>
      </c>
      <c r="C3" s="6">
        <v>2.28125</v>
      </c>
      <c r="D3" s="4">
        <v>466</v>
      </c>
      <c r="E3" s="4" t="s">
        <v>24</v>
      </c>
      <c r="F3" s="4" t="s">
        <v>24</v>
      </c>
      <c r="G3" s="4" t="s">
        <v>24</v>
      </c>
      <c r="I3">
        <f>91*(1023-I2)/I2</f>
        <v>109.89123867069486</v>
      </c>
    </row>
    <row r="4" spans="1:9" x14ac:dyDescent="0.2">
      <c r="A4" s="8">
        <v>46317</v>
      </c>
      <c r="B4" s="9">
        <v>0.59917824074074078</v>
      </c>
      <c r="C4" s="6">
        <v>2.78125</v>
      </c>
      <c r="D4" s="4">
        <v>461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46317</v>
      </c>
      <c r="B5" s="9">
        <v>0.59917824074074078</v>
      </c>
      <c r="C5" s="6">
        <v>3.296875</v>
      </c>
      <c r="D5" s="4">
        <v>466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46317</v>
      </c>
      <c r="B6" s="9">
        <v>0.59918981481481481</v>
      </c>
      <c r="C6" s="6">
        <v>3.828125</v>
      </c>
      <c r="D6" s="4">
        <v>461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46317</v>
      </c>
      <c r="B7" s="9">
        <v>0.59918981481481481</v>
      </c>
      <c r="C7" s="6">
        <v>4.34375</v>
      </c>
      <c r="D7" s="4">
        <v>463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46317</v>
      </c>
      <c r="B8" s="9">
        <v>0.59920138888888885</v>
      </c>
      <c r="C8" s="6">
        <v>4.875</v>
      </c>
      <c r="D8" s="4">
        <v>460</v>
      </c>
      <c r="E8" s="4" t="s">
        <v>27</v>
      </c>
      <c r="F8" s="4" t="s">
        <v>27</v>
      </c>
      <c r="G8" s="4">
        <v>21</v>
      </c>
    </row>
    <row r="9" spans="1:9" x14ac:dyDescent="0.2">
      <c r="A9" s="8">
        <v>46317</v>
      </c>
      <c r="B9" s="9">
        <v>0.599212962962963</v>
      </c>
      <c r="C9" s="6">
        <v>5.40625</v>
      </c>
      <c r="D9" s="4">
        <v>460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46317</v>
      </c>
      <c r="B10" s="9">
        <v>0.599212962962963</v>
      </c>
      <c r="C10" s="6">
        <v>5.9375</v>
      </c>
      <c r="D10" s="4">
        <v>459</v>
      </c>
      <c r="E10" s="4" t="s">
        <v>27</v>
      </c>
      <c r="F10" s="4" t="s">
        <v>27</v>
      </c>
      <c r="G10" s="4">
        <v>4112</v>
      </c>
    </row>
    <row r="11" spans="1:9" x14ac:dyDescent="0.2">
      <c r="A11" s="8">
        <v>46317</v>
      </c>
      <c r="B11" s="9">
        <v>0.59922453703703704</v>
      </c>
      <c r="C11" s="6">
        <v>6.4609379999999996</v>
      </c>
      <c r="D11" s="4">
        <v>466</v>
      </c>
      <c r="E11" s="4" t="s">
        <v>25</v>
      </c>
      <c r="F11" s="10">
        <v>0.64</v>
      </c>
      <c r="G11" s="4" t="s">
        <v>26</v>
      </c>
    </row>
    <row r="12" spans="1:9" x14ac:dyDescent="0.2">
      <c r="A12" s="8">
        <v>46317</v>
      </c>
      <c r="B12" s="9">
        <v>0.59922453703703704</v>
      </c>
      <c r="C12" s="6">
        <v>6.9921879999999996</v>
      </c>
      <c r="D12" s="4">
        <v>461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46317</v>
      </c>
      <c r="B13" s="9">
        <v>0.59923611111111108</v>
      </c>
      <c r="C13" s="6">
        <v>7.4921879999999996</v>
      </c>
      <c r="D13" s="4">
        <v>465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46317</v>
      </c>
      <c r="B14" s="9">
        <v>0.59923611111111108</v>
      </c>
      <c r="C14" s="6">
        <v>7.9921879999999996</v>
      </c>
      <c r="D14" s="4">
        <v>466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46317</v>
      </c>
      <c r="B15" s="9">
        <v>0.59924768518518523</v>
      </c>
      <c r="C15" s="6">
        <v>8.4921880000000005</v>
      </c>
      <c r="D15" s="4">
        <v>468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46317</v>
      </c>
      <c r="B16" s="9">
        <v>0.59925925925925927</v>
      </c>
      <c r="C16" s="6">
        <v>9.5078130000000005</v>
      </c>
      <c r="D16" s="4">
        <v>466</v>
      </c>
      <c r="E16" s="4" t="s">
        <v>27</v>
      </c>
      <c r="F16" s="4" t="s">
        <v>27</v>
      </c>
      <c r="G16" s="4">
        <v>-237</v>
      </c>
    </row>
    <row r="17" spans="1:7" x14ac:dyDescent="0.2">
      <c r="A17" s="8">
        <v>46317</v>
      </c>
      <c r="B17" s="9">
        <v>0.59925925925925927</v>
      </c>
      <c r="C17" s="6">
        <v>10.039059999999999</v>
      </c>
      <c r="D17" s="4">
        <v>466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46317</v>
      </c>
      <c r="B18" s="9">
        <v>0.59927083333333331</v>
      </c>
      <c r="C18" s="6">
        <v>10.570309999999999</v>
      </c>
      <c r="D18" s="4">
        <v>464</v>
      </c>
      <c r="E18" s="4" t="s">
        <v>25</v>
      </c>
      <c r="F18" s="10">
        <v>0.64</v>
      </c>
      <c r="G18" s="4" t="s">
        <v>26</v>
      </c>
    </row>
    <row r="19" spans="1:7" x14ac:dyDescent="0.2">
      <c r="A19" s="8">
        <v>46317</v>
      </c>
      <c r="B19" s="9">
        <v>0.59927083333333331</v>
      </c>
      <c r="C19" s="6">
        <v>11.085940000000001</v>
      </c>
      <c r="D19" s="4">
        <v>462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46317</v>
      </c>
      <c r="B20" s="9">
        <v>0.59928240740740746</v>
      </c>
      <c r="C20" s="6">
        <v>11.601559999999999</v>
      </c>
      <c r="D20" s="4">
        <v>463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46317</v>
      </c>
      <c r="B21" s="9">
        <v>0.59928240740740746</v>
      </c>
      <c r="C21" s="6">
        <v>12.101559999999999</v>
      </c>
      <c r="D21" s="4">
        <v>466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6A198-4342-49F9-9407-C29410301BA2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46317</v>
      </c>
      <c r="B2" s="9">
        <v>0.6007986111111111</v>
      </c>
      <c r="C2" s="6">
        <v>1.800781</v>
      </c>
      <c r="D2" s="11">
        <v>464</v>
      </c>
      <c r="E2" s="11" t="s">
        <v>24</v>
      </c>
      <c r="F2" s="11" t="s">
        <v>24</v>
      </c>
      <c r="G2" s="11" t="s">
        <v>24</v>
      </c>
      <c r="I2">
        <f>AVERAGE(D2:D21)</f>
        <v>460.85</v>
      </c>
    </row>
    <row r="3" spans="1:9" x14ac:dyDescent="0.2">
      <c r="A3" s="8">
        <v>46317</v>
      </c>
      <c r="B3" s="9">
        <v>0.60081018518518514</v>
      </c>
      <c r="C3" s="6">
        <v>2.2695310000000002</v>
      </c>
      <c r="D3" s="11">
        <v>461</v>
      </c>
      <c r="E3" s="11" t="s">
        <v>24</v>
      </c>
      <c r="F3" s="11" t="s">
        <v>24</v>
      </c>
      <c r="G3" s="11" t="s">
        <v>24</v>
      </c>
      <c r="I3">
        <f>91*(1023-I2)/I2</f>
        <v>111.00282087447108</v>
      </c>
    </row>
    <row r="4" spans="1:9" x14ac:dyDescent="0.2">
      <c r="A4" s="8">
        <v>46317</v>
      </c>
      <c r="B4" s="9">
        <v>0.60081018518518514</v>
      </c>
      <c r="C4" s="6">
        <v>2.7695310000000002</v>
      </c>
      <c r="D4" s="4">
        <v>464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46317</v>
      </c>
      <c r="B5" s="9">
        <v>0.60082175925925929</v>
      </c>
      <c r="C5" s="6">
        <v>3.7890630000000001</v>
      </c>
      <c r="D5" s="4">
        <v>459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46317</v>
      </c>
      <c r="B6" s="9">
        <v>0.60083333333333333</v>
      </c>
      <c r="C6" s="6">
        <v>4.3203129999999996</v>
      </c>
      <c r="D6" s="4">
        <v>463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46317</v>
      </c>
      <c r="B7" s="9">
        <v>0.60084490740740737</v>
      </c>
      <c r="C7" s="6">
        <v>5.3476559999999997</v>
      </c>
      <c r="D7" s="4">
        <v>463</v>
      </c>
      <c r="E7" s="4" t="s">
        <v>27</v>
      </c>
      <c r="F7" s="4" t="s">
        <v>27</v>
      </c>
      <c r="G7" s="4">
        <v>-237</v>
      </c>
    </row>
    <row r="8" spans="1:9" x14ac:dyDescent="0.2">
      <c r="A8" s="8">
        <v>46317</v>
      </c>
      <c r="B8" s="9">
        <v>0.60084490740740737</v>
      </c>
      <c r="C8" s="6">
        <v>5.8789059999999997</v>
      </c>
      <c r="D8" s="4">
        <v>463</v>
      </c>
      <c r="E8" s="4" t="s">
        <v>27</v>
      </c>
      <c r="F8" s="4" t="s">
        <v>27</v>
      </c>
      <c r="G8" s="4">
        <v>4112</v>
      </c>
    </row>
    <row r="9" spans="1:9" x14ac:dyDescent="0.2">
      <c r="A9" s="8">
        <v>46317</v>
      </c>
      <c r="B9" s="9">
        <v>0.60085648148148152</v>
      </c>
      <c r="C9" s="6">
        <v>6.4101559999999997</v>
      </c>
      <c r="D9" s="4">
        <v>459</v>
      </c>
      <c r="E9" s="4" t="s">
        <v>27</v>
      </c>
      <c r="F9" s="4" t="s">
        <v>27</v>
      </c>
      <c r="G9" s="4">
        <v>21</v>
      </c>
    </row>
    <row r="10" spans="1:9" x14ac:dyDescent="0.2">
      <c r="A10" s="8">
        <v>46317</v>
      </c>
      <c r="B10" s="9">
        <v>0.60085648148148152</v>
      </c>
      <c r="C10" s="6">
        <v>6.9414059999999997</v>
      </c>
      <c r="D10" s="4">
        <v>459</v>
      </c>
      <c r="E10" s="4" t="s">
        <v>27</v>
      </c>
      <c r="F10" s="4" t="s">
        <v>27</v>
      </c>
      <c r="G10" s="4">
        <v>4112</v>
      </c>
    </row>
    <row r="11" spans="1:9" x14ac:dyDescent="0.2">
      <c r="A11" s="8">
        <v>46317</v>
      </c>
      <c r="B11" s="9">
        <v>0.60086805555555556</v>
      </c>
      <c r="C11" s="6">
        <v>7.4570309999999997</v>
      </c>
      <c r="D11" s="4">
        <v>458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46317</v>
      </c>
      <c r="B12" s="9">
        <v>0.60086805555555556</v>
      </c>
      <c r="C12" s="6">
        <v>7.9882809999999997</v>
      </c>
      <c r="D12" s="4">
        <v>459</v>
      </c>
      <c r="E12" s="4" t="s">
        <v>27</v>
      </c>
      <c r="F12" s="4" t="s">
        <v>27</v>
      </c>
      <c r="G12" s="4">
        <v>21</v>
      </c>
    </row>
    <row r="13" spans="1:9" x14ac:dyDescent="0.2">
      <c r="A13" s="8">
        <v>46317</v>
      </c>
      <c r="B13" s="9">
        <v>0.6008796296296296</v>
      </c>
      <c r="C13" s="6">
        <v>8.5195310000000006</v>
      </c>
      <c r="D13" s="4">
        <v>462</v>
      </c>
      <c r="E13" s="4" t="s">
        <v>27</v>
      </c>
      <c r="F13" s="4" t="s">
        <v>27</v>
      </c>
      <c r="G13" s="4">
        <v>3088</v>
      </c>
    </row>
    <row r="14" spans="1:9" x14ac:dyDescent="0.2">
      <c r="A14" s="8">
        <v>46317</v>
      </c>
      <c r="B14" s="9">
        <v>0.60089120370370375</v>
      </c>
      <c r="C14" s="6">
        <v>9.0351560000000006</v>
      </c>
      <c r="D14" s="4">
        <v>459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46317</v>
      </c>
      <c r="B15" s="9">
        <v>0.60089120370370375</v>
      </c>
      <c r="C15" s="6">
        <v>9.5820310000000006</v>
      </c>
      <c r="D15" s="4">
        <v>465</v>
      </c>
      <c r="E15" s="4" t="s">
        <v>25</v>
      </c>
      <c r="F15" s="10">
        <v>0.64</v>
      </c>
      <c r="G15" s="4" t="s">
        <v>26</v>
      </c>
    </row>
    <row r="16" spans="1:9" x14ac:dyDescent="0.2">
      <c r="A16" s="8">
        <v>46317</v>
      </c>
      <c r="B16" s="9">
        <v>0.60090277777777779</v>
      </c>
      <c r="C16" s="6">
        <v>10.097659999999999</v>
      </c>
      <c r="D16" s="4">
        <v>460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46317</v>
      </c>
      <c r="B17" s="9">
        <v>0.60090277777777779</v>
      </c>
      <c r="C17" s="6">
        <v>10.597659999999999</v>
      </c>
      <c r="D17" s="4">
        <v>458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46317</v>
      </c>
      <c r="B18" s="9">
        <v>0.60091435185185182</v>
      </c>
      <c r="C18" s="6">
        <v>11.097659999999999</v>
      </c>
      <c r="D18" s="4">
        <v>461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46317</v>
      </c>
      <c r="B19" s="9">
        <v>0.60091435185185182</v>
      </c>
      <c r="C19" s="6">
        <v>11.597659999999999</v>
      </c>
      <c r="D19" s="4">
        <v>459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46317</v>
      </c>
      <c r="B20" s="9">
        <v>0.60092592592592597</v>
      </c>
      <c r="C20" s="6">
        <v>12.128909999999999</v>
      </c>
      <c r="D20" s="4">
        <v>461</v>
      </c>
      <c r="E20" s="4" t="s">
        <v>25</v>
      </c>
      <c r="F20" s="10">
        <v>0.64</v>
      </c>
      <c r="G20" s="4" t="s">
        <v>26</v>
      </c>
    </row>
    <row r="21" spans="1:7" x14ac:dyDescent="0.2">
      <c r="A21" s="8">
        <v>46317</v>
      </c>
      <c r="B21" s="9">
        <v>0.60092592592592597</v>
      </c>
      <c r="C21" s="6">
        <v>12.64453</v>
      </c>
      <c r="D21" s="4">
        <v>460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393F9-564E-4F00-B1D9-946454D5975A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46317</v>
      </c>
      <c r="B2" s="9">
        <v>0.6030092592592593</v>
      </c>
      <c r="C2" s="6">
        <v>1.808594</v>
      </c>
      <c r="D2" s="4">
        <v>465</v>
      </c>
      <c r="E2" s="4" t="s">
        <v>24</v>
      </c>
      <c r="F2" s="4" t="s">
        <v>24</v>
      </c>
      <c r="G2" s="4" t="s">
        <v>24</v>
      </c>
      <c r="I2">
        <f>AVERAGE(D2:D21)</f>
        <v>471.05</v>
      </c>
    </row>
    <row r="3" spans="1:9" x14ac:dyDescent="0.2">
      <c r="A3" s="8">
        <v>46317</v>
      </c>
      <c r="B3" s="9">
        <v>0.60302083333333334</v>
      </c>
      <c r="C3" s="6">
        <v>2.2773439999999998</v>
      </c>
      <c r="D3" s="4">
        <v>471</v>
      </c>
      <c r="E3" s="4" t="s">
        <v>24</v>
      </c>
      <c r="F3" s="4" t="s">
        <v>24</v>
      </c>
      <c r="G3" s="4" t="s">
        <v>24</v>
      </c>
      <c r="I3">
        <f>91*(1023-I2)/I2</f>
        <v>106.62870183632312</v>
      </c>
    </row>
    <row r="4" spans="1:9" x14ac:dyDescent="0.2">
      <c r="A4" s="8">
        <v>46317</v>
      </c>
      <c r="B4" s="9">
        <v>0.60302083333333334</v>
      </c>
      <c r="C4" s="6">
        <v>2.7773439999999998</v>
      </c>
      <c r="D4" s="4">
        <v>467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46317</v>
      </c>
      <c r="B5" s="9">
        <v>0.60303240740740738</v>
      </c>
      <c r="C5" s="6">
        <v>3.7929689999999998</v>
      </c>
      <c r="D5" s="4">
        <v>470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46317</v>
      </c>
      <c r="B6" s="9">
        <v>0.60304398148148153</v>
      </c>
      <c r="C6" s="6">
        <v>4.3242190000000003</v>
      </c>
      <c r="D6" s="4">
        <v>467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46317</v>
      </c>
      <c r="B7" s="9">
        <v>0.60305555555555557</v>
      </c>
      <c r="C7" s="6">
        <v>5.3554690000000003</v>
      </c>
      <c r="D7" s="4">
        <v>468</v>
      </c>
      <c r="E7" s="4" t="s">
        <v>27</v>
      </c>
      <c r="F7" s="4" t="s">
        <v>27</v>
      </c>
      <c r="G7" s="4">
        <v>-237</v>
      </c>
    </row>
    <row r="8" spans="1:9" x14ac:dyDescent="0.2">
      <c r="A8" s="8">
        <v>46317</v>
      </c>
      <c r="B8" s="9">
        <v>0.60305555555555557</v>
      </c>
      <c r="C8" s="6">
        <v>5.8867190000000003</v>
      </c>
      <c r="D8" s="4">
        <v>473</v>
      </c>
      <c r="E8" s="4" t="s">
        <v>27</v>
      </c>
      <c r="F8" s="4" t="s">
        <v>27</v>
      </c>
      <c r="G8" s="4">
        <v>4112</v>
      </c>
    </row>
    <row r="9" spans="1:9" x14ac:dyDescent="0.2">
      <c r="A9" s="8">
        <v>46317</v>
      </c>
      <c r="B9" s="9">
        <v>0.60306712962962961</v>
      </c>
      <c r="C9" s="6">
        <v>6.9179690000000003</v>
      </c>
      <c r="D9" s="4">
        <v>470</v>
      </c>
      <c r="E9" s="4" t="s">
        <v>27</v>
      </c>
      <c r="F9" s="4" t="s">
        <v>27</v>
      </c>
      <c r="G9" s="4">
        <v>-237</v>
      </c>
    </row>
    <row r="10" spans="1:9" x14ac:dyDescent="0.2">
      <c r="A10" s="8">
        <v>46317</v>
      </c>
      <c r="B10" s="9">
        <v>0.60307870370370376</v>
      </c>
      <c r="C10" s="6">
        <v>7.4492190000000003</v>
      </c>
      <c r="D10" s="4">
        <v>473</v>
      </c>
      <c r="E10" s="4" t="s">
        <v>27</v>
      </c>
      <c r="F10" s="4" t="s">
        <v>27</v>
      </c>
      <c r="G10" s="4">
        <v>4112</v>
      </c>
    </row>
    <row r="11" spans="1:9" x14ac:dyDescent="0.2">
      <c r="A11" s="8">
        <v>46317</v>
      </c>
      <c r="B11" s="9">
        <v>0.60309027777777779</v>
      </c>
      <c r="C11" s="6">
        <v>8.4804689999999994</v>
      </c>
      <c r="D11" s="4">
        <v>468</v>
      </c>
      <c r="E11" s="4" t="s">
        <v>27</v>
      </c>
      <c r="F11" s="4" t="s">
        <v>27</v>
      </c>
      <c r="G11" s="4">
        <v>-237</v>
      </c>
    </row>
    <row r="12" spans="1:9" x14ac:dyDescent="0.2">
      <c r="A12" s="8">
        <v>46317</v>
      </c>
      <c r="B12" s="9">
        <v>0.60309027777777779</v>
      </c>
      <c r="C12" s="6">
        <v>8.9960939999999994</v>
      </c>
      <c r="D12" s="4">
        <v>470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46317</v>
      </c>
      <c r="B13" s="9">
        <v>0.60310185185185183</v>
      </c>
      <c r="C13" s="6">
        <v>9.5429689999999994</v>
      </c>
      <c r="D13" s="4">
        <v>470</v>
      </c>
      <c r="E13" s="4" t="s">
        <v>25</v>
      </c>
      <c r="F13" s="10">
        <v>0.64</v>
      </c>
      <c r="G13" s="4" t="s">
        <v>26</v>
      </c>
    </row>
    <row r="14" spans="1:9" x14ac:dyDescent="0.2">
      <c r="A14" s="8">
        <v>46317</v>
      </c>
      <c r="B14" s="9">
        <v>0.60310185185185183</v>
      </c>
      <c r="C14" s="6">
        <v>10.058590000000001</v>
      </c>
      <c r="D14" s="4">
        <v>472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46317</v>
      </c>
      <c r="B15" s="9">
        <v>0.60311342592592587</v>
      </c>
      <c r="C15" s="6">
        <v>10.558590000000001</v>
      </c>
      <c r="D15" s="4">
        <v>471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46317</v>
      </c>
      <c r="B16" s="9">
        <v>0.60311342592592587</v>
      </c>
      <c r="C16" s="6">
        <v>11.058590000000001</v>
      </c>
      <c r="D16" s="4">
        <v>476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46317</v>
      </c>
      <c r="B17" s="9">
        <v>0.60312500000000002</v>
      </c>
      <c r="C17" s="6">
        <v>11.57422</v>
      </c>
      <c r="D17" s="4">
        <v>474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46317</v>
      </c>
      <c r="B18" s="9">
        <v>0.60313657407407406</v>
      </c>
      <c r="C18" s="6">
        <v>12.589840000000001</v>
      </c>
      <c r="D18" s="4">
        <v>470</v>
      </c>
      <c r="E18" s="4" t="s">
        <v>27</v>
      </c>
      <c r="F18" s="4" t="s">
        <v>27</v>
      </c>
      <c r="G18" s="4">
        <v>-237</v>
      </c>
    </row>
    <row r="19" spans="1:7" x14ac:dyDescent="0.2">
      <c r="A19" s="8">
        <v>46317</v>
      </c>
      <c r="B19" s="9">
        <v>0.60313657407407406</v>
      </c>
      <c r="C19" s="6">
        <v>13.10547</v>
      </c>
      <c r="D19" s="4">
        <v>472</v>
      </c>
      <c r="E19" s="4" t="s">
        <v>27</v>
      </c>
      <c r="F19" s="4" t="s">
        <v>27</v>
      </c>
      <c r="G19" s="4">
        <v>4112</v>
      </c>
    </row>
    <row r="20" spans="1:7" x14ac:dyDescent="0.2">
      <c r="A20" s="8">
        <v>46317</v>
      </c>
      <c r="B20" s="9">
        <v>0.60315972222222225</v>
      </c>
      <c r="C20" s="6">
        <v>14.152340000000001</v>
      </c>
      <c r="D20" s="4">
        <v>478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46317</v>
      </c>
      <c r="B21" s="9">
        <v>0.60315972222222225</v>
      </c>
      <c r="C21" s="6">
        <v>14.66797</v>
      </c>
      <c r="D21" s="4">
        <v>476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2A3DE-7F93-402C-85DF-C43A28E9CAB2}">
  <dimension ref="A1:I21"/>
  <sheetViews>
    <sheetView workbookViewId="0">
      <selection activeCell="J9" sqref="J9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46317</v>
      </c>
      <c r="B2" s="9">
        <v>0.60773148148148148</v>
      </c>
      <c r="C2" s="6">
        <v>1.796875</v>
      </c>
      <c r="D2" s="4">
        <v>614</v>
      </c>
      <c r="E2" s="4" t="s">
        <v>24</v>
      </c>
      <c r="F2" s="4" t="s">
        <v>24</v>
      </c>
      <c r="G2" s="4" t="s">
        <v>24</v>
      </c>
      <c r="I2">
        <f>AVERAGE(D2:D21)</f>
        <v>615</v>
      </c>
    </row>
    <row r="3" spans="1:9" x14ac:dyDescent="0.2">
      <c r="A3" s="8">
        <v>46317</v>
      </c>
      <c r="B3" s="9">
        <v>0.60774305555555552</v>
      </c>
      <c r="C3" s="6">
        <v>2.28125</v>
      </c>
      <c r="D3" s="4">
        <v>611</v>
      </c>
      <c r="E3" s="4" t="s">
        <v>24</v>
      </c>
      <c r="F3" s="4" t="s">
        <v>24</v>
      </c>
      <c r="G3" s="4" t="s">
        <v>24</v>
      </c>
      <c r="I3">
        <f>91*(1023-I2)/I2</f>
        <v>60.37073170731707</v>
      </c>
    </row>
    <row r="4" spans="1:9" x14ac:dyDescent="0.2">
      <c r="A4" s="8">
        <v>46317</v>
      </c>
      <c r="B4" s="9">
        <v>0.60774305555555552</v>
      </c>
      <c r="C4" s="6">
        <v>2.78125</v>
      </c>
      <c r="D4" s="4">
        <v>613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46317</v>
      </c>
      <c r="B5" s="9">
        <v>0.60775462962962967</v>
      </c>
      <c r="C5" s="6">
        <v>3.296875</v>
      </c>
      <c r="D5" s="4">
        <v>617</v>
      </c>
      <c r="E5" s="4" t="s">
        <v>25</v>
      </c>
      <c r="F5" s="10">
        <v>0.64</v>
      </c>
      <c r="G5" s="4" t="s">
        <v>26</v>
      </c>
    </row>
    <row r="6" spans="1:9" x14ac:dyDescent="0.2">
      <c r="A6" s="8">
        <v>46317</v>
      </c>
      <c r="B6" s="9">
        <v>0.60775462962962967</v>
      </c>
      <c r="C6" s="6">
        <v>3.828125</v>
      </c>
      <c r="D6" s="4">
        <v>616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46317</v>
      </c>
      <c r="B7" s="9">
        <v>0.60776620370370371</v>
      </c>
      <c r="C7" s="6">
        <v>4.328125</v>
      </c>
      <c r="D7" s="4">
        <v>617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46317</v>
      </c>
      <c r="B8" s="9">
        <v>0.60776620370370371</v>
      </c>
      <c r="C8" s="6">
        <v>4.828125</v>
      </c>
      <c r="D8" s="4">
        <v>613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46317</v>
      </c>
      <c r="B9" s="9">
        <v>0.60777777777777775</v>
      </c>
      <c r="C9" s="6">
        <v>5.328125</v>
      </c>
      <c r="D9" s="4">
        <v>615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46317</v>
      </c>
      <c r="B10" s="9">
        <v>0.6077893518518519</v>
      </c>
      <c r="C10" s="6">
        <v>6.34375</v>
      </c>
      <c r="D10" s="4">
        <v>616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46317</v>
      </c>
      <c r="B11" s="9">
        <v>0.6077893518518519</v>
      </c>
      <c r="C11" s="6">
        <v>6.859375</v>
      </c>
      <c r="D11" s="4">
        <v>612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46317</v>
      </c>
      <c r="B12" s="9">
        <v>0.60780092592592594</v>
      </c>
      <c r="C12" s="6">
        <v>7.40625</v>
      </c>
      <c r="D12" s="4">
        <v>615</v>
      </c>
      <c r="E12" s="4" t="s">
        <v>25</v>
      </c>
      <c r="F12" s="10">
        <v>0.63</v>
      </c>
      <c r="G12" s="4" t="s">
        <v>26</v>
      </c>
    </row>
    <row r="13" spans="1:9" x14ac:dyDescent="0.2">
      <c r="A13" s="8">
        <v>46317</v>
      </c>
      <c r="B13" s="9">
        <v>0.60780092592592594</v>
      </c>
      <c r="C13" s="6">
        <v>7.921875</v>
      </c>
      <c r="D13" s="4">
        <v>613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46317</v>
      </c>
      <c r="B14" s="9">
        <v>0.60781249999999998</v>
      </c>
      <c r="C14" s="6">
        <v>8.421875</v>
      </c>
      <c r="D14" s="4">
        <v>618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46317</v>
      </c>
      <c r="B15" s="9">
        <v>0.60781249999999998</v>
      </c>
      <c r="C15" s="6">
        <v>8.921875</v>
      </c>
      <c r="D15" s="4">
        <v>614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46317</v>
      </c>
      <c r="B16" s="9">
        <v>0.60782407407407413</v>
      </c>
      <c r="C16" s="6">
        <v>9.421875</v>
      </c>
      <c r="D16" s="4">
        <v>613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46317</v>
      </c>
      <c r="B17" s="9">
        <v>0.60782407407407413</v>
      </c>
      <c r="C17" s="6">
        <v>9.953125</v>
      </c>
      <c r="D17" s="4">
        <v>616</v>
      </c>
      <c r="E17" s="4" t="s">
        <v>25</v>
      </c>
      <c r="F17" s="10">
        <v>0.63</v>
      </c>
      <c r="G17" s="4" t="s">
        <v>26</v>
      </c>
    </row>
    <row r="18" spans="1:7" x14ac:dyDescent="0.2">
      <c r="A18" s="8">
        <v>46317</v>
      </c>
      <c r="B18" s="9">
        <v>0.60783564814814817</v>
      </c>
      <c r="C18" s="6">
        <v>10.46875</v>
      </c>
      <c r="D18" s="4">
        <v>617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46317</v>
      </c>
      <c r="B19" s="9">
        <v>0.60783564814814817</v>
      </c>
      <c r="C19" s="6">
        <v>10.96875</v>
      </c>
      <c r="D19" s="4">
        <v>613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46317</v>
      </c>
      <c r="B20" s="9">
        <v>0.60784722222222221</v>
      </c>
      <c r="C20" s="6">
        <v>11.46875</v>
      </c>
      <c r="D20" s="4">
        <v>619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46317</v>
      </c>
      <c r="B21" s="9">
        <v>0.60784722222222221</v>
      </c>
      <c r="C21" s="6">
        <v>11.96875</v>
      </c>
      <c r="D21" s="4">
        <v>618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95BD-9301-4C03-A9B1-BAF81037BF74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46317</v>
      </c>
      <c r="B2" s="9">
        <v>0.61079861111111111</v>
      </c>
      <c r="C2" s="6">
        <v>1.796875</v>
      </c>
      <c r="D2" s="11">
        <v>634</v>
      </c>
      <c r="E2" s="11" t="s">
        <v>24</v>
      </c>
      <c r="F2" s="11" t="s">
        <v>24</v>
      </c>
      <c r="G2" s="11" t="s">
        <v>24</v>
      </c>
      <c r="I2">
        <f>AVERAGE(D2:D21)</f>
        <v>637.79999999999995</v>
      </c>
    </row>
    <row r="3" spans="1:9" x14ac:dyDescent="0.2">
      <c r="A3" s="8">
        <v>46317</v>
      </c>
      <c r="B3" s="9">
        <v>0.61079861111111111</v>
      </c>
      <c r="C3" s="6">
        <v>2.28125</v>
      </c>
      <c r="D3" s="11">
        <v>635</v>
      </c>
      <c r="E3" s="11" t="s">
        <v>24</v>
      </c>
      <c r="F3" s="11" t="s">
        <v>24</v>
      </c>
      <c r="G3" s="11" t="s">
        <v>24</v>
      </c>
      <c r="I3">
        <f>91*(1023-I2)/I2</f>
        <v>54.959548447789288</v>
      </c>
    </row>
    <row r="4" spans="1:9" x14ac:dyDescent="0.2">
      <c r="A4" s="8">
        <v>46317</v>
      </c>
      <c r="B4" s="9">
        <v>0.61081018518518515</v>
      </c>
      <c r="C4" s="6">
        <v>2.78125</v>
      </c>
      <c r="D4" s="11">
        <v>637</v>
      </c>
      <c r="E4" s="11" t="s">
        <v>24</v>
      </c>
      <c r="F4" s="11" t="s">
        <v>24</v>
      </c>
      <c r="G4" s="11" t="s">
        <v>24</v>
      </c>
    </row>
    <row r="5" spans="1:9" x14ac:dyDescent="0.2">
      <c r="A5" s="8">
        <v>46317</v>
      </c>
      <c r="B5" s="9">
        <v>0.61081018518518515</v>
      </c>
      <c r="C5" s="6">
        <v>3.296875</v>
      </c>
      <c r="D5" s="11">
        <v>635</v>
      </c>
      <c r="E5" s="11" t="s">
        <v>25</v>
      </c>
      <c r="F5" s="10">
        <v>0.64</v>
      </c>
      <c r="G5" s="11" t="s">
        <v>26</v>
      </c>
    </row>
    <row r="6" spans="1:9" x14ac:dyDescent="0.2">
      <c r="A6" s="8">
        <v>46317</v>
      </c>
      <c r="B6" s="9">
        <v>0.6108217592592593</v>
      </c>
      <c r="C6" s="6">
        <v>3.8125</v>
      </c>
      <c r="D6" s="11">
        <v>639</v>
      </c>
      <c r="E6" s="11" t="s">
        <v>24</v>
      </c>
      <c r="F6" s="11" t="s">
        <v>24</v>
      </c>
      <c r="G6" s="11" t="s">
        <v>24</v>
      </c>
    </row>
    <row r="7" spans="1:9" x14ac:dyDescent="0.2">
      <c r="A7" s="8">
        <v>46317</v>
      </c>
      <c r="B7" s="9">
        <v>0.6108217592592593</v>
      </c>
      <c r="C7" s="6">
        <v>4.3125</v>
      </c>
      <c r="D7" s="11">
        <v>637</v>
      </c>
      <c r="E7" s="11" t="s">
        <v>24</v>
      </c>
      <c r="F7" s="11" t="s">
        <v>24</v>
      </c>
      <c r="G7" s="11" t="s">
        <v>24</v>
      </c>
    </row>
    <row r="8" spans="1:9" x14ac:dyDescent="0.2">
      <c r="A8" s="8">
        <v>46317</v>
      </c>
      <c r="B8" s="9">
        <v>0.61083333333333334</v>
      </c>
      <c r="C8" s="6">
        <v>4.8125</v>
      </c>
      <c r="D8" s="11">
        <v>635</v>
      </c>
      <c r="E8" s="11" t="s">
        <v>24</v>
      </c>
      <c r="F8" s="11" t="s">
        <v>24</v>
      </c>
      <c r="G8" s="11" t="s">
        <v>24</v>
      </c>
    </row>
    <row r="9" spans="1:9" x14ac:dyDescent="0.2">
      <c r="A9" s="8">
        <v>46317</v>
      </c>
      <c r="B9" s="9">
        <v>0.61083333333333334</v>
      </c>
      <c r="C9" s="6">
        <v>5.3125</v>
      </c>
      <c r="D9" s="11">
        <v>639</v>
      </c>
      <c r="E9" s="11" t="s">
        <v>24</v>
      </c>
      <c r="F9" s="11" t="s">
        <v>24</v>
      </c>
      <c r="G9" s="11" t="s">
        <v>24</v>
      </c>
    </row>
    <row r="10" spans="1:9" x14ac:dyDescent="0.2">
      <c r="A10" s="8">
        <v>46317</v>
      </c>
      <c r="B10" s="9">
        <v>0.61084490740740738</v>
      </c>
      <c r="C10" s="6">
        <v>5.84375</v>
      </c>
      <c r="D10" s="11">
        <v>640</v>
      </c>
      <c r="E10" s="11" t="s">
        <v>25</v>
      </c>
      <c r="F10" s="10">
        <v>0.63</v>
      </c>
      <c r="G10" s="11" t="s">
        <v>26</v>
      </c>
    </row>
    <row r="11" spans="1:9" x14ac:dyDescent="0.2">
      <c r="A11" s="8">
        <v>46317</v>
      </c>
      <c r="B11" s="9">
        <v>0.61084490740740738</v>
      </c>
      <c r="C11" s="6">
        <v>6.359375</v>
      </c>
      <c r="D11" s="11">
        <v>637</v>
      </c>
      <c r="E11" s="11" t="s">
        <v>24</v>
      </c>
      <c r="F11" s="11" t="s">
        <v>24</v>
      </c>
      <c r="G11" s="11" t="s">
        <v>24</v>
      </c>
    </row>
    <row r="12" spans="1:9" x14ac:dyDescent="0.2">
      <c r="A12" s="8">
        <v>46317</v>
      </c>
      <c r="B12" s="9">
        <v>0.61085648148148153</v>
      </c>
      <c r="C12" s="6">
        <v>6.859375</v>
      </c>
      <c r="D12" s="4">
        <v>639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46317</v>
      </c>
      <c r="B13" s="9">
        <v>0.61085648148148153</v>
      </c>
      <c r="C13" s="6">
        <v>7.359375</v>
      </c>
      <c r="D13" s="4">
        <v>638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46317</v>
      </c>
      <c r="B14" s="9">
        <v>0.61086805555555557</v>
      </c>
      <c r="C14" s="6">
        <v>7.859375</v>
      </c>
      <c r="D14" s="4">
        <v>638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46317</v>
      </c>
      <c r="B15" s="9">
        <v>0.61086805555555557</v>
      </c>
      <c r="C15" s="6">
        <v>8.390625</v>
      </c>
      <c r="D15" s="4">
        <v>638</v>
      </c>
      <c r="E15" s="4" t="s">
        <v>25</v>
      </c>
      <c r="F15" s="10">
        <v>0.63</v>
      </c>
      <c r="G15" s="4" t="s">
        <v>26</v>
      </c>
    </row>
    <row r="16" spans="1:9" x14ac:dyDescent="0.2">
      <c r="A16" s="8">
        <v>46317</v>
      </c>
      <c r="B16" s="9">
        <v>0.61087962962962961</v>
      </c>
      <c r="C16" s="6">
        <v>8.90625</v>
      </c>
      <c r="D16" s="4">
        <v>637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46317</v>
      </c>
      <c r="B17" s="9">
        <v>0.61087962962962961</v>
      </c>
      <c r="C17" s="6">
        <v>9.40625</v>
      </c>
      <c r="D17" s="4">
        <v>639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46317</v>
      </c>
      <c r="B18" s="9">
        <v>0.61089120370370376</v>
      </c>
      <c r="C18" s="6">
        <v>9.90625</v>
      </c>
      <c r="D18" s="4">
        <v>639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46317</v>
      </c>
      <c r="B19" s="9">
        <v>0.61089120370370376</v>
      </c>
      <c r="C19" s="6">
        <v>10.40625</v>
      </c>
      <c r="D19" s="4">
        <v>642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46317</v>
      </c>
      <c r="B20" s="9">
        <v>0.61090277777777779</v>
      </c>
      <c r="C20" s="6">
        <v>10.92188</v>
      </c>
      <c r="D20" s="4">
        <v>639</v>
      </c>
      <c r="E20" s="4" t="s">
        <v>25</v>
      </c>
      <c r="F20" s="10">
        <v>0.63</v>
      </c>
      <c r="G20" s="4" t="s">
        <v>26</v>
      </c>
    </row>
    <row r="21" spans="1:7" x14ac:dyDescent="0.2">
      <c r="A21" s="8">
        <v>46317</v>
      </c>
      <c r="B21" s="9">
        <v>0.61090277777777779</v>
      </c>
      <c r="C21" s="6">
        <v>11.45313</v>
      </c>
      <c r="D21" s="4">
        <v>639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079D-7A6E-4562-8A32-9E8902F64A8E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46317</v>
      </c>
      <c r="B2" s="9">
        <v>0.61211805555555554</v>
      </c>
      <c r="C2" s="6">
        <v>1.8125</v>
      </c>
      <c r="D2" s="4">
        <v>615</v>
      </c>
      <c r="E2" s="4" t="s">
        <v>24</v>
      </c>
      <c r="F2" s="4" t="s">
        <v>24</v>
      </c>
      <c r="G2" s="4" t="s">
        <v>24</v>
      </c>
      <c r="I2">
        <f>AVERAGE(D2:D21)</f>
        <v>618.20000000000005</v>
      </c>
    </row>
    <row r="3" spans="1:9" x14ac:dyDescent="0.2">
      <c r="A3" s="8">
        <v>46317</v>
      </c>
      <c r="B3" s="9">
        <v>0.61212962962962958</v>
      </c>
      <c r="C3" s="6">
        <v>2.2929689999999998</v>
      </c>
      <c r="D3" s="4">
        <v>617</v>
      </c>
      <c r="E3" s="4" t="s">
        <v>24</v>
      </c>
      <c r="F3" s="4" t="s">
        <v>24</v>
      </c>
      <c r="G3" s="4" t="s">
        <v>24</v>
      </c>
      <c r="I3">
        <f>91*(1023-I2)/I2</f>
        <v>59.587188612099631</v>
      </c>
    </row>
    <row r="4" spans="1:9" x14ac:dyDescent="0.2">
      <c r="A4" s="8">
        <v>46317</v>
      </c>
      <c r="B4" s="9">
        <v>0.61212962962962958</v>
      </c>
      <c r="C4" s="6">
        <v>2.7929689999999998</v>
      </c>
      <c r="D4" s="4">
        <v>618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46317</v>
      </c>
      <c r="B5" s="9">
        <v>0.61214120370370373</v>
      </c>
      <c r="C5" s="6">
        <v>3.3085939999999998</v>
      </c>
      <c r="D5" s="4">
        <v>613</v>
      </c>
      <c r="E5" s="4" t="s">
        <v>25</v>
      </c>
      <c r="F5" s="10">
        <v>0.63</v>
      </c>
      <c r="G5" s="4" t="s">
        <v>26</v>
      </c>
    </row>
    <row r="6" spans="1:9" x14ac:dyDescent="0.2">
      <c r="A6" s="8">
        <v>46317</v>
      </c>
      <c r="B6" s="9">
        <v>0.61214120370370373</v>
      </c>
      <c r="C6" s="6">
        <v>3.8242189999999998</v>
      </c>
      <c r="D6" s="4">
        <v>614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46317</v>
      </c>
      <c r="B7" s="9">
        <v>0.61215277777777777</v>
      </c>
      <c r="C7" s="6">
        <v>4.3242190000000003</v>
      </c>
      <c r="D7" s="4">
        <v>613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46317</v>
      </c>
      <c r="B8" s="9">
        <v>0.61215277777777777</v>
      </c>
      <c r="C8" s="6">
        <v>4.8242190000000003</v>
      </c>
      <c r="D8" s="4">
        <v>619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46317</v>
      </c>
      <c r="B9" s="9">
        <v>0.61216435185185181</v>
      </c>
      <c r="C9" s="6">
        <v>5.3242190000000003</v>
      </c>
      <c r="D9" s="4">
        <v>614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46317</v>
      </c>
      <c r="B10" s="9">
        <v>0.61216435185185181</v>
      </c>
      <c r="C10" s="6">
        <v>5.8398440000000003</v>
      </c>
      <c r="D10" s="4">
        <v>615</v>
      </c>
      <c r="E10" s="4" t="s">
        <v>25</v>
      </c>
      <c r="F10" s="10">
        <v>0.64</v>
      </c>
      <c r="G10" s="4" t="s">
        <v>26</v>
      </c>
    </row>
    <row r="11" spans="1:9" x14ac:dyDescent="0.2">
      <c r="A11" s="8">
        <v>46317</v>
      </c>
      <c r="B11" s="9">
        <v>0.61217592592592596</v>
      </c>
      <c r="C11" s="6">
        <v>6.3710940000000003</v>
      </c>
      <c r="D11" s="4">
        <v>619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46317</v>
      </c>
      <c r="B12" s="9">
        <v>0.61217592592592596</v>
      </c>
      <c r="C12" s="6">
        <v>6.8710940000000003</v>
      </c>
      <c r="D12" s="4">
        <v>617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46317</v>
      </c>
      <c r="B13" s="9">
        <v>0.6121875</v>
      </c>
      <c r="C13" s="6">
        <v>7.3710940000000003</v>
      </c>
      <c r="D13" s="4">
        <v>617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46317</v>
      </c>
      <c r="B14" s="9">
        <v>0.6121875</v>
      </c>
      <c r="C14" s="6">
        <v>7.8710940000000003</v>
      </c>
      <c r="D14" s="4">
        <v>621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46317</v>
      </c>
      <c r="B15" s="9">
        <v>0.61219907407407403</v>
      </c>
      <c r="C15" s="6">
        <v>8.3867189999999994</v>
      </c>
      <c r="D15" s="4">
        <v>620</v>
      </c>
      <c r="E15" s="4" t="s">
        <v>25</v>
      </c>
      <c r="F15" s="10">
        <v>0.63</v>
      </c>
      <c r="G15" s="4" t="s">
        <v>26</v>
      </c>
    </row>
    <row r="16" spans="1:9" x14ac:dyDescent="0.2">
      <c r="A16" s="8">
        <v>46317</v>
      </c>
      <c r="B16" s="9">
        <v>0.61219907407407403</v>
      </c>
      <c r="C16" s="6">
        <v>8.9179689999999994</v>
      </c>
      <c r="D16" s="4">
        <v>624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46317</v>
      </c>
      <c r="B17" s="9">
        <v>0.61221064814814818</v>
      </c>
      <c r="C17" s="6">
        <v>9.4179689999999994</v>
      </c>
      <c r="D17" s="4">
        <v>624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46317</v>
      </c>
      <c r="B18" s="9">
        <v>0.61221064814814818</v>
      </c>
      <c r="C18" s="6">
        <v>9.9179689999999994</v>
      </c>
      <c r="D18" s="4">
        <v>623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46317</v>
      </c>
      <c r="B19" s="9">
        <v>0.61222222222222222</v>
      </c>
      <c r="C19" s="6">
        <v>10.41797</v>
      </c>
      <c r="D19" s="4">
        <v>620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46317</v>
      </c>
      <c r="B20" s="9">
        <v>0.61222222222222222</v>
      </c>
      <c r="C20" s="6">
        <v>10.933590000000001</v>
      </c>
      <c r="D20" s="4">
        <v>622</v>
      </c>
      <c r="E20" s="4" t="s">
        <v>25</v>
      </c>
      <c r="F20" s="10">
        <v>0.64</v>
      </c>
      <c r="G20" s="4" t="s">
        <v>26</v>
      </c>
    </row>
    <row r="21" spans="1:7" x14ac:dyDescent="0.2">
      <c r="A21" s="8">
        <v>46317</v>
      </c>
      <c r="B21" s="9">
        <v>0.61223379629629626</v>
      </c>
      <c r="C21" s="6">
        <v>11.44922</v>
      </c>
      <c r="D21" s="4">
        <v>619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28315-16F9-44AF-9FF1-FA79B1062CDA}">
  <dimension ref="A1:I21"/>
  <sheetViews>
    <sheetView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46317</v>
      </c>
      <c r="B2" s="9">
        <v>0.61479166666666663</v>
      </c>
      <c r="C2" s="6">
        <v>1.8046880000000001</v>
      </c>
      <c r="D2" s="4">
        <v>637</v>
      </c>
      <c r="E2" s="4" t="s">
        <v>24</v>
      </c>
      <c r="F2" s="4" t="s">
        <v>24</v>
      </c>
      <c r="G2" s="4" t="s">
        <v>24</v>
      </c>
      <c r="I2">
        <f>AVERAGE(D2:D21)</f>
        <v>641.85</v>
      </c>
    </row>
    <row r="3" spans="1:9" x14ac:dyDescent="0.2">
      <c r="A3" s="8">
        <v>46317</v>
      </c>
      <c r="B3" s="9">
        <v>0.61479166666666663</v>
      </c>
      <c r="C3" s="6">
        <v>2.28125</v>
      </c>
      <c r="D3" s="4">
        <v>639</v>
      </c>
      <c r="E3" s="4" t="s">
        <v>24</v>
      </c>
      <c r="F3" s="4" t="s">
        <v>24</v>
      </c>
      <c r="G3" s="4" t="s">
        <v>24</v>
      </c>
      <c r="I3">
        <f>91*(1023-I2)/I2</f>
        <v>54.038560411311053</v>
      </c>
    </row>
    <row r="4" spans="1:9" x14ac:dyDescent="0.2">
      <c r="A4" s="8">
        <v>46317</v>
      </c>
      <c r="B4" s="9">
        <v>0.61480324074074078</v>
      </c>
      <c r="C4" s="6">
        <v>2.78125</v>
      </c>
      <c r="D4" s="4">
        <v>639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46317</v>
      </c>
      <c r="B5" s="9">
        <v>0.61480324074074078</v>
      </c>
      <c r="C5" s="6">
        <v>3.3007810000000002</v>
      </c>
      <c r="D5" s="4">
        <v>642</v>
      </c>
      <c r="E5" s="4" t="s">
        <v>25</v>
      </c>
      <c r="F5" s="10">
        <v>0.63</v>
      </c>
      <c r="G5" s="4" t="s">
        <v>26</v>
      </c>
    </row>
    <row r="6" spans="1:9" x14ac:dyDescent="0.2">
      <c r="A6" s="8">
        <v>46317</v>
      </c>
      <c r="B6" s="9">
        <v>0.61481481481481481</v>
      </c>
      <c r="C6" s="6">
        <v>3.8242189999999998</v>
      </c>
      <c r="D6" s="4">
        <v>638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46317</v>
      </c>
      <c r="B7" s="9">
        <v>0.61481481481481481</v>
      </c>
      <c r="C7" s="6">
        <v>4.3242190000000003</v>
      </c>
      <c r="D7" s="4">
        <v>638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46317</v>
      </c>
      <c r="B8" s="9">
        <v>0.61482638888888885</v>
      </c>
      <c r="C8" s="6">
        <v>4.8242190000000003</v>
      </c>
      <c r="D8" s="4">
        <v>638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46317</v>
      </c>
      <c r="B9" s="9">
        <v>0.61482638888888885</v>
      </c>
      <c r="C9" s="6">
        <v>5.3242190000000003</v>
      </c>
      <c r="D9" s="4">
        <v>642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46317</v>
      </c>
      <c r="B10" s="9">
        <v>0.614837962962963</v>
      </c>
      <c r="C10" s="6">
        <v>5.8476559999999997</v>
      </c>
      <c r="D10" s="4">
        <v>643</v>
      </c>
      <c r="E10" s="4" t="s">
        <v>25</v>
      </c>
      <c r="F10" s="10">
        <v>0.63</v>
      </c>
      <c r="G10" s="4" t="s">
        <v>26</v>
      </c>
    </row>
    <row r="11" spans="1:9" x14ac:dyDescent="0.2">
      <c r="A11" s="8">
        <v>46317</v>
      </c>
      <c r="B11" s="9">
        <v>0.614837962962963</v>
      </c>
      <c r="C11" s="6">
        <v>6.3632809999999997</v>
      </c>
      <c r="D11" s="4">
        <v>639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46317</v>
      </c>
      <c r="B12" s="9">
        <v>0.61484953703703704</v>
      </c>
      <c r="C12" s="6">
        <v>6.8710940000000003</v>
      </c>
      <c r="D12" s="4">
        <v>640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46317</v>
      </c>
      <c r="B13" s="9">
        <v>0.61484953703703704</v>
      </c>
      <c r="C13" s="6">
        <v>7.3671879999999996</v>
      </c>
      <c r="D13" s="4">
        <v>641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46317</v>
      </c>
      <c r="B14" s="9">
        <v>0.61486111111111108</v>
      </c>
      <c r="C14" s="6">
        <v>7.8671879999999996</v>
      </c>
      <c r="D14" s="4">
        <v>641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46317</v>
      </c>
      <c r="B15" s="9">
        <v>0.61486111111111108</v>
      </c>
      <c r="C15" s="6">
        <v>8.3867189999999994</v>
      </c>
      <c r="D15" s="4">
        <v>641</v>
      </c>
      <c r="E15" s="4" t="s">
        <v>25</v>
      </c>
      <c r="F15" s="10">
        <v>0.63</v>
      </c>
      <c r="G15" s="4" t="s">
        <v>26</v>
      </c>
    </row>
    <row r="16" spans="1:9" x14ac:dyDescent="0.2">
      <c r="A16" s="8">
        <v>46317</v>
      </c>
      <c r="B16" s="9">
        <v>0.61487268518518523</v>
      </c>
      <c r="C16" s="6">
        <v>8.90625</v>
      </c>
      <c r="D16" s="4">
        <v>646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46317</v>
      </c>
      <c r="B17" s="9">
        <v>0.61487268518518523</v>
      </c>
      <c r="C17" s="6">
        <v>9.4140630000000005</v>
      </c>
      <c r="D17" s="4">
        <v>646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46317</v>
      </c>
      <c r="B18" s="9">
        <v>0.61488425925925927</v>
      </c>
      <c r="C18" s="6">
        <v>9.9140630000000005</v>
      </c>
      <c r="D18" s="4">
        <v>647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46317</v>
      </c>
      <c r="B19" s="9">
        <v>0.61488425925925927</v>
      </c>
      <c r="C19" s="6">
        <v>10.414059999999999</v>
      </c>
      <c r="D19" s="4">
        <v>644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46317</v>
      </c>
      <c r="B20" s="9">
        <v>0.61489583333333331</v>
      </c>
      <c r="C20" s="6">
        <v>11.429690000000001</v>
      </c>
      <c r="D20" s="4">
        <v>647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46317</v>
      </c>
      <c r="B21" s="9">
        <v>0.61490740740740746</v>
      </c>
      <c r="C21" s="6">
        <v>11.95703</v>
      </c>
      <c r="D21" s="4">
        <v>649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AD72B-1B55-4830-A8D4-DDA660053CE1}">
  <dimension ref="A1:I21"/>
  <sheetViews>
    <sheetView workbookViewId="0">
      <selection activeCell="N26" sqref="N26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46317</v>
      </c>
      <c r="B2" s="9">
        <v>0.61663194444444447</v>
      </c>
      <c r="C2" s="6">
        <v>1.792969</v>
      </c>
      <c r="D2" s="4">
        <v>627</v>
      </c>
      <c r="E2" s="4" t="s">
        <v>24</v>
      </c>
      <c r="F2" s="4" t="s">
        <v>24</v>
      </c>
      <c r="G2" s="4" t="s">
        <v>24</v>
      </c>
      <c r="I2">
        <f>AVERAGE(D2:D21)</f>
        <v>620.85</v>
      </c>
    </row>
    <row r="3" spans="1:9" x14ac:dyDescent="0.2">
      <c r="A3" s="8">
        <v>46317</v>
      </c>
      <c r="B3" s="9">
        <v>0.61663194444444447</v>
      </c>
      <c r="C3" s="6">
        <v>2.2773439999999998</v>
      </c>
      <c r="D3" s="4">
        <v>626</v>
      </c>
      <c r="E3" s="4" t="s">
        <v>24</v>
      </c>
      <c r="F3" s="4" t="s">
        <v>24</v>
      </c>
      <c r="G3" s="4" t="s">
        <v>24</v>
      </c>
      <c r="I3">
        <f>91*(1023-I2)/I2</f>
        <v>58.944431021985984</v>
      </c>
    </row>
    <row r="4" spans="1:9" x14ac:dyDescent="0.2">
      <c r="A4" s="8">
        <v>46317</v>
      </c>
      <c r="B4" s="9">
        <v>0.61664351851851851</v>
      </c>
      <c r="C4" s="6">
        <v>2.7773439999999998</v>
      </c>
      <c r="D4" s="4">
        <v>625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46317</v>
      </c>
      <c r="B5" s="9">
        <v>0.61664351851851851</v>
      </c>
      <c r="C5" s="6">
        <v>3.2929689999999998</v>
      </c>
      <c r="D5" s="4">
        <v>625</v>
      </c>
      <c r="E5" s="4" t="s">
        <v>25</v>
      </c>
      <c r="F5" s="10">
        <v>0.62</v>
      </c>
      <c r="G5" s="4" t="s">
        <v>26</v>
      </c>
    </row>
    <row r="6" spans="1:9" x14ac:dyDescent="0.2">
      <c r="A6" s="8">
        <v>46317</v>
      </c>
      <c r="B6" s="9">
        <v>0.61665509259259255</v>
      </c>
      <c r="C6" s="6">
        <v>3.8085939999999998</v>
      </c>
      <c r="D6" s="4">
        <v>619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46317</v>
      </c>
      <c r="B7" s="9">
        <v>0.61665509259259255</v>
      </c>
      <c r="C7" s="6">
        <v>4.3085940000000003</v>
      </c>
      <c r="D7" s="4">
        <v>619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46317</v>
      </c>
      <c r="B8" s="9">
        <v>0.6166666666666667</v>
      </c>
      <c r="C8" s="6">
        <v>4.8085940000000003</v>
      </c>
      <c r="D8" s="4">
        <v>618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46317</v>
      </c>
      <c r="B9" s="9">
        <v>0.6166666666666667</v>
      </c>
      <c r="C9" s="6">
        <v>5.3085940000000003</v>
      </c>
      <c r="D9" s="4">
        <v>619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46317</v>
      </c>
      <c r="B10" s="9">
        <v>0.61667824074074074</v>
      </c>
      <c r="C10" s="6">
        <v>5.8242190000000003</v>
      </c>
      <c r="D10" s="4">
        <v>623</v>
      </c>
      <c r="E10" s="4" t="s">
        <v>27</v>
      </c>
      <c r="F10" s="4" t="s">
        <v>27</v>
      </c>
      <c r="G10" s="4">
        <v>21</v>
      </c>
    </row>
    <row r="11" spans="1:9" x14ac:dyDescent="0.2">
      <c r="A11" s="8">
        <v>46317</v>
      </c>
      <c r="B11" s="9">
        <v>0.61667824074074074</v>
      </c>
      <c r="C11" s="6">
        <v>6.3554690000000003</v>
      </c>
      <c r="D11" s="4">
        <v>618</v>
      </c>
      <c r="E11" s="4" t="s">
        <v>27</v>
      </c>
      <c r="F11" s="4" t="s">
        <v>27</v>
      </c>
      <c r="G11" s="4">
        <v>3088</v>
      </c>
    </row>
    <row r="12" spans="1:9" x14ac:dyDescent="0.2">
      <c r="A12" s="8">
        <v>46317</v>
      </c>
      <c r="B12" s="9">
        <v>0.61668981481481477</v>
      </c>
      <c r="C12" s="6">
        <v>6.8867190000000003</v>
      </c>
      <c r="D12" s="4">
        <v>619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46317</v>
      </c>
      <c r="B13" s="9">
        <v>0.61668981481481477</v>
      </c>
      <c r="C13" s="6">
        <v>7.4179690000000003</v>
      </c>
      <c r="D13" s="4">
        <v>622</v>
      </c>
      <c r="E13" s="4" t="s">
        <v>25</v>
      </c>
      <c r="F13" s="10">
        <v>0.62</v>
      </c>
      <c r="G13" s="4" t="s">
        <v>26</v>
      </c>
    </row>
    <row r="14" spans="1:9" x14ac:dyDescent="0.2">
      <c r="A14" s="8">
        <v>46317</v>
      </c>
      <c r="B14" s="9">
        <v>0.61670138888888892</v>
      </c>
      <c r="C14" s="6">
        <v>7.9335940000000003</v>
      </c>
      <c r="D14" s="4">
        <v>623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46317</v>
      </c>
      <c r="B15" s="9">
        <v>0.61670138888888892</v>
      </c>
      <c r="C15" s="6">
        <v>8.4335939999999994</v>
      </c>
      <c r="D15" s="4">
        <v>618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46317</v>
      </c>
      <c r="B16" s="9">
        <v>0.61671296296296296</v>
      </c>
      <c r="C16" s="6">
        <v>8.9335939999999994</v>
      </c>
      <c r="D16" s="4">
        <v>619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46317</v>
      </c>
      <c r="B17" s="9">
        <v>0.61671296296296296</v>
      </c>
      <c r="C17" s="6">
        <v>9.4335939999999994</v>
      </c>
      <c r="D17" s="4">
        <v>620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46317</v>
      </c>
      <c r="B18" s="9">
        <v>0.616724537037037</v>
      </c>
      <c r="C18" s="6">
        <v>10.44922</v>
      </c>
      <c r="D18" s="4">
        <v>617</v>
      </c>
      <c r="E18" s="4" t="s">
        <v>27</v>
      </c>
      <c r="F18" s="4" t="s">
        <v>27</v>
      </c>
      <c r="G18" s="4">
        <v>-237</v>
      </c>
    </row>
    <row r="19" spans="1:7" x14ac:dyDescent="0.2">
      <c r="A19" s="8">
        <v>46317</v>
      </c>
      <c r="B19" s="9">
        <v>0.61673611111111115</v>
      </c>
      <c r="C19" s="6">
        <v>10.98047</v>
      </c>
      <c r="D19" s="4">
        <v>618</v>
      </c>
      <c r="E19" s="4" t="s">
        <v>27</v>
      </c>
      <c r="F19" s="4" t="s">
        <v>27</v>
      </c>
      <c r="G19" s="4">
        <v>4112</v>
      </c>
    </row>
    <row r="20" spans="1:7" x14ac:dyDescent="0.2">
      <c r="A20" s="8">
        <v>46317</v>
      </c>
      <c r="B20" s="9">
        <v>0.61673611111111115</v>
      </c>
      <c r="C20" s="6">
        <v>11.527340000000001</v>
      </c>
      <c r="D20" s="4">
        <v>624</v>
      </c>
      <c r="E20" s="4" t="s">
        <v>25</v>
      </c>
      <c r="F20" s="10">
        <v>0.62</v>
      </c>
      <c r="G20" s="4" t="s">
        <v>26</v>
      </c>
    </row>
    <row r="21" spans="1:7" x14ac:dyDescent="0.2">
      <c r="A21" s="8">
        <v>46317</v>
      </c>
      <c r="B21" s="9">
        <v>0.61674768518518519</v>
      </c>
      <c r="C21" s="6">
        <v>12.04297</v>
      </c>
      <c r="D21" s="4">
        <v>618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C4F1B-8D5C-4F6F-A215-9C4C07094B0D}">
  <dimension ref="A1:I21"/>
  <sheetViews>
    <sheetView tabSelected="1" workbookViewId="0"/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46317</v>
      </c>
      <c r="B2" s="9">
        <v>0.6181712962962963</v>
      </c>
      <c r="C2" s="6">
        <v>1.8125</v>
      </c>
      <c r="D2" s="4">
        <v>606</v>
      </c>
      <c r="E2" s="4" t="s">
        <v>24</v>
      </c>
      <c r="F2" s="4" t="s">
        <v>24</v>
      </c>
      <c r="G2" s="4" t="s">
        <v>24</v>
      </c>
      <c r="I2">
        <f>AVERAGE(D2:D21)</f>
        <v>606.5</v>
      </c>
    </row>
    <row r="3" spans="1:9" x14ac:dyDescent="0.2">
      <c r="A3" s="8">
        <v>46317</v>
      </c>
      <c r="B3" s="9">
        <v>0.6181712962962963</v>
      </c>
      <c r="C3" s="6">
        <v>2.2890630000000001</v>
      </c>
      <c r="D3" s="4">
        <v>606</v>
      </c>
      <c r="E3" s="4" t="s">
        <v>24</v>
      </c>
      <c r="F3" s="4" t="s">
        <v>24</v>
      </c>
      <c r="G3" s="4" t="s">
        <v>24</v>
      </c>
      <c r="I3">
        <f>91*(1023-I2)/I2</f>
        <v>62.492168178070898</v>
      </c>
    </row>
    <row r="4" spans="1:9" x14ac:dyDescent="0.2">
      <c r="A4" s="8">
        <v>46317</v>
      </c>
      <c r="B4" s="9">
        <v>0.61818287037037034</v>
      </c>
      <c r="C4" s="6">
        <v>2.7890630000000001</v>
      </c>
      <c r="D4" s="4">
        <v>607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46317</v>
      </c>
      <c r="B5" s="9">
        <v>0.61818287037037034</v>
      </c>
      <c r="C5" s="6">
        <v>3.3085939999999998</v>
      </c>
      <c r="D5" s="4">
        <v>609</v>
      </c>
      <c r="E5" s="4" t="s">
        <v>25</v>
      </c>
      <c r="F5" s="10">
        <v>0.63</v>
      </c>
      <c r="G5" s="4" t="s">
        <v>26</v>
      </c>
    </row>
    <row r="6" spans="1:9" x14ac:dyDescent="0.2">
      <c r="A6" s="8">
        <v>46317</v>
      </c>
      <c r="B6" s="9">
        <v>0.61819444444444449</v>
      </c>
      <c r="C6" s="6">
        <v>3.828125</v>
      </c>
      <c r="D6" s="4">
        <v>604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46317</v>
      </c>
      <c r="B7" s="9">
        <v>0.61819444444444449</v>
      </c>
      <c r="C7" s="6">
        <v>4.328125</v>
      </c>
      <c r="D7" s="4">
        <v>602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46317</v>
      </c>
      <c r="B8" s="9">
        <v>0.61820601851851853</v>
      </c>
      <c r="C8" s="6">
        <v>4.828125</v>
      </c>
      <c r="D8" s="4">
        <v>603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46317</v>
      </c>
      <c r="B9" s="9">
        <v>0.61820601851851853</v>
      </c>
      <c r="C9" s="6">
        <v>5.3320309999999997</v>
      </c>
      <c r="D9" s="4">
        <v>602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46317</v>
      </c>
      <c r="B10" s="9">
        <v>0.61821759259259257</v>
      </c>
      <c r="C10" s="6">
        <v>5.8515629999999996</v>
      </c>
      <c r="D10" s="4">
        <v>608</v>
      </c>
      <c r="E10" s="4" t="s">
        <v>27</v>
      </c>
      <c r="F10" s="4" t="s">
        <v>27</v>
      </c>
      <c r="G10" s="4">
        <v>21</v>
      </c>
    </row>
    <row r="11" spans="1:9" x14ac:dyDescent="0.2">
      <c r="A11" s="8">
        <v>46317</v>
      </c>
      <c r="B11" s="9">
        <v>0.61821759259259257</v>
      </c>
      <c r="C11" s="6">
        <v>6.3671879999999996</v>
      </c>
      <c r="D11" s="4">
        <v>602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46317</v>
      </c>
      <c r="B12" s="9">
        <v>0.61822916666666672</v>
      </c>
      <c r="C12" s="6">
        <v>6.8828129999999996</v>
      </c>
      <c r="D12" s="4">
        <v>603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46317</v>
      </c>
      <c r="B13" s="9">
        <v>0.61822916666666672</v>
      </c>
      <c r="C13" s="6">
        <v>7.4140629999999996</v>
      </c>
      <c r="D13" s="4">
        <v>603</v>
      </c>
      <c r="E13" s="4" t="s">
        <v>27</v>
      </c>
      <c r="F13" s="4" t="s">
        <v>27</v>
      </c>
      <c r="G13" s="4">
        <v>21</v>
      </c>
    </row>
    <row r="14" spans="1:9" x14ac:dyDescent="0.2">
      <c r="A14" s="8">
        <v>46317</v>
      </c>
      <c r="B14" s="9">
        <v>0.61824074074074076</v>
      </c>
      <c r="C14" s="6">
        <v>7.9453129999999996</v>
      </c>
      <c r="D14" s="4">
        <v>604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46317</v>
      </c>
      <c r="B15" s="9">
        <v>0.61824074074074076</v>
      </c>
      <c r="C15" s="6">
        <v>8.4609380000000005</v>
      </c>
      <c r="D15" s="4">
        <v>610</v>
      </c>
      <c r="E15" s="4" t="s">
        <v>27</v>
      </c>
      <c r="F15" s="4" t="s">
        <v>27</v>
      </c>
      <c r="G15" s="4">
        <v>4112</v>
      </c>
    </row>
    <row r="16" spans="1:9" x14ac:dyDescent="0.2">
      <c r="A16" s="8">
        <v>46317</v>
      </c>
      <c r="B16" s="9">
        <v>0.6182523148148148</v>
      </c>
      <c r="C16" s="6">
        <v>8.9921880000000005</v>
      </c>
      <c r="D16" s="4">
        <v>611</v>
      </c>
      <c r="E16" s="4" t="s">
        <v>27</v>
      </c>
      <c r="F16" s="4" t="s">
        <v>27</v>
      </c>
      <c r="G16" s="4">
        <v>21</v>
      </c>
    </row>
    <row r="17" spans="1:7" x14ac:dyDescent="0.2">
      <c r="A17" s="8">
        <v>46317</v>
      </c>
      <c r="B17" s="9">
        <v>0.6182523148148148</v>
      </c>
      <c r="C17" s="6">
        <v>9.5234380000000005</v>
      </c>
      <c r="D17" s="4">
        <v>612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46317</v>
      </c>
      <c r="B18" s="9">
        <v>0.61826388888888884</v>
      </c>
      <c r="C18" s="6">
        <v>10.054690000000001</v>
      </c>
      <c r="D18" s="4">
        <v>608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46317</v>
      </c>
      <c r="B19" s="9">
        <v>0.61826388888888884</v>
      </c>
      <c r="C19" s="6">
        <v>10.585940000000001</v>
      </c>
      <c r="D19" s="4">
        <v>606</v>
      </c>
      <c r="E19" s="4" t="s">
        <v>27</v>
      </c>
      <c r="F19" s="4" t="s">
        <v>27</v>
      </c>
      <c r="G19" s="4">
        <v>21</v>
      </c>
    </row>
    <row r="20" spans="1:7" x14ac:dyDescent="0.2">
      <c r="A20" s="8">
        <v>46317</v>
      </c>
      <c r="B20" s="9">
        <v>0.61827546296296299</v>
      </c>
      <c r="C20" s="6">
        <v>11.117190000000001</v>
      </c>
      <c r="D20" s="4">
        <v>612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46317</v>
      </c>
      <c r="B21" s="9">
        <v>0.61828703703703702</v>
      </c>
      <c r="C21" s="6">
        <v>11.632809999999999</v>
      </c>
      <c r="D21" s="4">
        <v>612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>
      <c r="I2" t="e">
        <f>AVERAGE(D2:D21)</f>
        <v>#DIV/0!</v>
      </c>
    </row>
    <row r="3" spans="2:13" ht="12.75" customHeight="1" x14ac:dyDescent="0.2">
      <c r="B3" s="1" t="s">
        <v>0</v>
      </c>
      <c r="C3" s="3">
        <v>3</v>
      </c>
      <c r="E3" s="12" t="s">
        <v>3</v>
      </c>
      <c r="F3" s="13"/>
      <c r="I3" t="e">
        <f>91*(1023-I2)/I2</f>
        <v>#DIV/0!</v>
      </c>
    </row>
    <row r="4" spans="2:13" ht="12.75" customHeight="1" x14ac:dyDescent="0.2">
      <c r="B4" s="1" t="s">
        <v>1</v>
      </c>
      <c r="C4" s="3">
        <v>9600</v>
      </c>
      <c r="E4" s="14"/>
      <c r="F4" s="15"/>
    </row>
    <row r="5" spans="2:13" ht="12.75" customHeight="1" x14ac:dyDescent="0.2">
      <c r="B5" s="1" t="s">
        <v>2</v>
      </c>
      <c r="C5" s="2" t="b">
        <v>1</v>
      </c>
      <c r="E5" s="14"/>
      <c r="F5" s="15"/>
    </row>
    <row r="6" spans="2:13" ht="12.75" customHeight="1" x14ac:dyDescent="0.2">
      <c r="B6" s="1" t="s">
        <v>5</v>
      </c>
      <c r="C6" s="2" t="b">
        <v>1</v>
      </c>
      <c r="E6" s="14"/>
      <c r="F6" s="15"/>
    </row>
    <row r="7" spans="2:13" ht="12.75" customHeight="1" x14ac:dyDescent="0.2">
      <c r="B7" s="1" t="s">
        <v>6</v>
      </c>
      <c r="C7" s="2" t="b">
        <v>1</v>
      </c>
      <c r="E7" s="14"/>
      <c r="F7" s="15"/>
      <c r="M7" s="1"/>
    </row>
    <row r="8" spans="2:13" ht="12.75" customHeight="1" x14ac:dyDescent="0.2">
      <c r="B8" s="1" t="s">
        <v>7</v>
      </c>
      <c r="C8" s="2" t="b">
        <v>0</v>
      </c>
      <c r="E8" s="14"/>
      <c r="F8" s="15"/>
      <c r="L8" s="1"/>
      <c r="M8" s="1"/>
    </row>
    <row r="9" spans="2:13" ht="12.75" customHeight="1" x14ac:dyDescent="0.2">
      <c r="B9" s="1" t="s">
        <v>4</v>
      </c>
      <c r="C9" s="3" t="s">
        <v>39</v>
      </c>
      <c r="E9" s="14"/>
      <c r="F9" s="15"/>
      <c r="M9" s="1"/>
    </row>
    <row r="10" spans="2:13" ht="13.5" customHeight="1" x14ac:dyDescent="0.2">
      <c r="B10" s="1" t="s">
        <v>9</v>
      </c>
      <c r="C10" s="2" t="b">
        <v>1</v>
      </c>
      <c r="E10" s="14"/>
      <c r="F10" s="15"/>
    </row>
    <row r="11" spans="2:13" ht="13.5" customHeight="1" x14ac:dyDescent="0.2">
      <c r="B11" s="1" t="s">
        <v>8</v>
      </c>
      <c r="C11" s="2" t="b">
        <v>1</v>
      </c>
      <c r="E11" s="14"/>
      <c r="F11" s="15"/>
    </row>
    <row r="12" spans="2:13" ht="12.75" customHeight="1" x14ac:dyDescent="0.2">
      <c r="B12" s="1" t="s">
        <v>10</v>
      </c>
      <c r="C12" s="2" t="b">
        <v>1</v>
      </c>
      <c r="E12" s="14"/>
      <c r="F12" s="15"/>
    </row>
    <row r="13" spans="2:13" ht="12.75" customHeight="1" x14ac:dyDescent="0.2">
      <c r="B13" s="1" t="s">
        <v>11</v>
      </c>
      <c r="C13" s="2" t="b">
        <v>1</v>
      </c>
      <c r="E13" s="14"/>
      <c r="F13" s="15"/>
    </row>
    <row r="14" spans="2:13" ht="13.5" customHeight="1" x14ac:dyDescent="0.2">
      <c r="B14" s="1" t="s">
        <v>12</v>
      </c>
      <c r="C14" s="2">
        <v>536.25</v>
      </c>
      <c r="E14" s="14"/>
      <c r="F14" s="15"/>
    </row>
    <row r="15" spans="2:13" x14ac:dyDescent="0.2">
      <c r="B15" s="1" t="s">
        <v>13</v>
      </c>
      <c r="C15" s="3">
        <v>1024</v>
      </c>
      <c r="E15" s="14"/>
      <c r="F15" s="15"/>
    </row>
    <row r="16" spans="2:13" x14ac:dyDescent="0.2">
      <c r="B16" s="1" t="s">
        <v>14</v>
      </c>
      <c r="C16" s="3">
        <v>1024</v>
      </c>
      <c r="E16" s="14"/>
      <c r="F16" s="15"/>
    </row>
    <row r="17" spans="2:6" x14ac:dyDescent="0.2">
      <c r="B17" s="1" t="s">
        <v>15</v>
      </c>
      <c r="C17" s="3">
        <v>1024</v>
      </c>
      <c r="E17" s="14"/>
      <c r="F17" s="15"/>
    </row>
    <row r="18" spans="2:6" ht="13.5" thickBot="1" x14ac:dyDescent="0.25">
      <c r="B18" s="1" t="s">
        <v>16</v>
      </c>
      <c r="C18" s="3">
        <v>64</v>
      </c>
      <c r="E18" s="16"/>
      <c r="F18" s="17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溫度</vt:lpstr>
      <vt:lpstr>升溫30</vt:lpstr>
      <vt:lpstr>升溫40</vt:lpstr>
      <vt:lpstr>升溫50</vt:lpstr>
      <vt:lpstr>升溫60</vt:lpstr>
      <vt:lpstr>升溫70</vt:lpstr>
      <vt:lpstr>升溫80</vt:lpstr>
      <vt:lpstr>降溫30</vt:lpstr>
      <vt:lpstr>降溫40</vt:lpstr>
      <vt:lpstr>降溫50</vt:lpstr>
      <vt:lpstr>降溫60</vt:lpstr>
      <vt:lpstr>降溫70</vt:lpstr>
      <vt:lpstr>降溫80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2026-10-22T06:50:42Z</dcterms:modified>
</cp:coreProperties>
</file>