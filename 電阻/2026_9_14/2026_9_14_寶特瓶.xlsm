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Excel\"/>
    </mc:Choice>
  </mc:AlternateContent>
  <xr:revisionPtr revIDLastSave="0" documentId="13_ncr:1_{F695F003-C096-49D4-82E5-72D96E10BDE6}" xr6:coauthVersionLast="47" xr6:coauthVersionMax="47" xr10:uidLastSave="{00000000-0000-0000-0000-000000000000}"/>
  <bookViews>
    <workbookView xWindow="-120" yWindow="-120" windowWidth="20730" windowHeight="11160" tabRatio="795" xr2:uid="{00000000-000D-0000-FFFF-FFFF00000000}"/>
  </bookViews>
  <sheets>
    <sheet name="溫度" sheetId="36" r:id="rId1"/>
    <sheet name="A2" sheetId="37" r:id="rId2"/>
    <sheet name="A3" sheetId="39" r:id="rId3"/>
    <sheet name="A4" sheetId="41" r:id="rId4"/>
    <sheet name="B2" sheetId="38" r:id="rId5"/>
    <sheet name="B3" sheetId="40" r:id="rId6"/>
    <sheet name="B4" sheetId="42" r:id="rId7"/>
    <sheet name="PLXDAQ_new_Settings" sheetId="6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42" l="1"/>
  <c r="I2" i="40"/>
  <c r="I2" i="38"/>
  <c r="I2" i="41"/>
  <c r="I2" i="39"/>
  <c r="I2" i="37"/>
  <c r="H2" i="42"/>
  <c r="H2" i="40"/>
  <c r="H2" i="38"/>
  <c r="H2" i="41"/>
  <c r="H2" i="39"/>
  <c r="H2" i="37"/>
</calcChain>
</file>

<file path=xl/sharedStrings.xml><?xml version="1.0" encoding="utf-8"?>
<sst xmlns="http://schemas.openxmlformats.org/spreadsheetml/2006/main" count="451" uniqueCount="32">
  <si>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</si>
  <si>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</si>
  <si>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</si>
  <si>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</si>
  <si>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</si>
  <si>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</si>
  <si>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</si>
  <si>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</si>
  <si>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</si>
  <si>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</si>
  <si>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</si>
  <si>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</si>
  <si>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</si>
  <si>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</si>
  <si>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</si>
  <si>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</si>
  <si>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</si>
  <si>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NULL</t>
  </si>
  <si>
    <t>Error</t>
  </si>
  <si>
    <t>Time</t>
    <phoneticPr fontId="4" type="noConversion"/>
  </si>
  <si>
    <t>Timer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</si>
  <si>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</si>
  <si>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</si>
  <si>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</si>
  <si>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</si>
  <si>
    <t>None</t>
    <phoneticPr fontId="4" type="noConversion"/>
  </si>
  <si>
    <t>A0</t>
    <phoneticPr fontId="4" type="noConversion"/>
  </si>
  <si>
    <t>B4</t>
    <phoneticPr fontId="4" type="noConversion"/>
  </si>
  <si>
    <t>28.00 C</t>
  </si>
  <si>
    <t>28.00 C</t>
    <phoneticPr fontId="4" type="noConversion"/>
  </si>
  <si>
    <t>NULL</t>
    <phoneticPr fontId="4" type="noConversion"/>
  </si>
  <si>
    <t>Error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</si>
</sst>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NumberFormat="1"/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30"/>
  <sheetViews>
    <sheetView tabSelected="1" workbookViewId="0">
      <selection activeCell="B22" sqref="B22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 t="s">
        <v>19</v>
      </c>
      <c r="B1" s="7" t="s">
        <v>20</v>
      </c>
      <c r="C1" s="5" t="s">
        <v>26</v>
      </c>
      <c r="D1" s="5" t="s">
        <v>21</v>
      </c>
      <c r="E1" s="5" t="s">
        <v>22</v>
      </c>
      <c r="F1" s="5" t="s">
        <v>23</v>
      </c>
    </row>
    <row r="2" spans="1:6" x14ac:dyDescent="0.2">
      <c r="A2" s="8">
        <v>0.55548611111111112</v>
      </c>
      <c r="B2" s="6">
        <v>1.796875</v>
      </c>
      <c r="C2" s="10">
        <v>0</v>
      </c>
      <c r="D2" s="10" t="s">
        <v>24</v>
      </c>
      <c r="E2" s="10" t="s">
        <v>24</v>
      </c>
      <c r="F2" s="10" t="s">
        <v>24</v>
      </c>
    </row>
    <row r="3" spans="1:6" x14ac:dyDescent="0.2">
      <c r="A3" s="8">
        <v>0.55549768518518516</v>
      </c>
      <c r="B3" s="6">
        <v>2.25</v>
      </c>
      <c r="C3" s="10">
        <v>0</v>
      </c>
      <c r="D3" s="10" t="s">
        <v>24</v>
      </c>
      <c r="E3" s="10" t="s">
        <v>24</v>
      </c>
      <c r="F3" s="10" t="s">
        <v>24</v>
      </c>
    </row>
    <row r="4" spans="1:6" x14ac:dyDescent="0.2">
      <c r="A4" s="8">
        <v>0.55549768518518516</v>
      </c>
      <c r="B4" s="6">
        <v>2.75</v>
      </c>
      <c r="C4" s="10">
        <v>0</v>
      </c>
      <c r="D4" s="10" t="s">
        <v>24</v>
      </c>
      <c r="E4" s="10" t="s">
        <v>24</v>
      </c>
      <c r="F4" s="10" t="s">
        <v>24</v>
      </c>
    </row>
    <row r="5" spans="1:6" x14ac:dyDescent="0.2">
      <c r="A5" s="8">
        <v>0.55550925925925931</v>
      </c>
      <c r="B5" s="6">
        <v>3.28125</v>
      </c>
      <c r="C5" s="10">
        <v>1</v>
      </c>
      <c r="D5" s="10" t="s">
        <v>18</v>
      </c>
      <c r="E5" s="10" t="s">
        <v>18</v>
      </c>
      <c r="F5" s="10">
        <v>21</v>
      </c>
    </row>
    <row r="6" spans="1:6" x14ac:dyDescent="0.2">
      <c r="A6" s="8">
        <v>0.55550925925925931</v>
      </c>
      <c r="B6" s="6">
        <v>3.796875</v>
      </c>
      <c r="C6" s="10">
        <v>0</v>
      </c>
      <c r="D6" s="10" t="s">
        <v>18</v>
      </c>
      <c r="E6" s="10" t="s">
        <v>18</v>
      </c>
      <c r="F6" s="10">
        <v>4112</v>
      </c>
    </row>
    <row r="7" spans="1:6" x14ac:dyDescent="0.2">
      <c r="A7" s="8">
        <v>0.55552083333333335</v>
      </c>
      <c r="B7" s="6">
        <v>4.3125</v>
      </c>
      <c r="C7" s="10">
        <v>2</v>
      </c>
      <c r="D7" s="10" t="s">
        <v>18</v>
      </c>
      <c r="E7" s="10" t="s">
        <v>18</v>
      </c>
      <c r="F7" s="10">
        <v>4112</v>
      </c>
    </row>
    <row r="8" spans="1:6" x14ac:dyDescent="0.2">
      <c r="A8" s="8">
        <v>0.55552083333333335</v>
      </c>
      <c r="B8" s="6">
        <v>4.859375</v>
      </c>
      <c r="C8" s="10">
        <v>0</v>
      </c>
      <c r="D8" s="10" t="s">
        <v>28</v>
      </c>
      <c r="E8" s="9">
        <v>0.67</v>
      </c>
      <c r="F8" s="10" t="s">
        <v>17</v>
      </c>
    </row>
    <row r="9" spans="1:6" x14ac:dyDescent="0.2">
      <c r="A9" s="8">
        <v>0.55553240740740739</v>
      </c>
      <c r="B9" s="6">
        <v>5.375</v>
      </c>
      <c r="C9" s="10">
        <v>0</v>
      </c>
      <c r="D9" s="10" t="s">
        <v>24</v>
      </c>
      <c r="E9" s="10" t="s">
        <v>24</v>
      </c>
      <c r="F9" s="10" t="s">
        <v>24</v>
      </c>
    </row>
    <row r="10" spans="1:6" x14ac:dyDescent="0.2">
      <c r="A10" s="8">
        <v>0.55553240740740739</v>
      </c>
      <c r="B10" s="6">
        <v>5.875</v>
      </c>
      <c r="C10" s="10">
        <v>0</v>
      </c>
      <c r="D10" s="10" t="s">
        <v>24</v>
      </c>
      <c r="E10" s="10" t="s">
        <v>24</v>
      </c>
      <c r="F10" s="10" t="s">
        <v>24</v>
      </c>
    </row>
    <row r="11" spans="1:6" x14ac:dyDescent="0.2">
      <c r="A11" s="8">
        <v>0.55554398148148143</v>
      </c>
      <c r="B11" s="6">
        <v>6.375</v>
      </c>
      <c r="C11" s="10">
        <v>0</v>
      </c>
      <c r="D11" s="10" t="s">
        <v>24</v>
      </c>
      <c r="E11" s="10" t="s">
        <v>24</v>
      </c>
      <c r="F11" s="10" t="s">
        <v>24</v>
      </c>
    </row>
    <row r="12" spans="1:6" x14ac:dyDescent="0.2">
      <c r="A12" s="8">
        <v>0.55554398148148143</v>
      </c>
      <c r="B12" s="6">
        <v>6.875</v>
      </c>
      <c r="C12" s="10">
        <v>0</v>
      </c>
      <c r="D12" s="10" t="s">
        <v>24</v>
      </c>
      <c r="E12" s="10" t="s">
        <v>24</v>
      </c>
      <c r="F12" s="10" t="s">
        <v>24</v>
      </c>
    </row>
    <row r="13" spans="1:6" x14ac:dyDescent="0.2">
      <c r="A13" s="8">
        <v>0.55555555555555558</v>
      </c>
      <c r="B13" s="6">
        <v>7.40625</v>
      </c>
      <c r="C13" s="10">
        <v>2</v>
      </c>
      <c r="D13" s="10" t="s">
        <v>28</v>
      </c>
      <c r="E13" s="9">
        <v>0.67</v>
      </c>
      <c r="F13" s="10" t="s">
        <v>17</v>
      </c>
    </row>
    <row r="14" spans="1:6" x14ac:dyDescent="0.2">
      <c r="A14" s="8">
        <v>0.55555555555555558</v>
      </c>
      <c r="B14" s="6">
        <v>7.921875</v>
      </c>
      <c r="C14" s="10">
        <v>3</v>
      </c>
      <c r="D14" s="10" t="s">
        <v>24</v>
      </c>
      <c r="E14" s="10" t="s">
        <v>24</v>
      </c>
      <c r="F14" s="10" t="s">
        <v>24</v>
      </c>
    </row>
    <row r="15" spans="1:6" x14ac:dyDescent="0.2">
      <c r="A15" s="8">
        <v>0.55556712962962962</v>
      </c>
      <c r="B15" s="6">
        <v>8.421875</v>
      </c>
      <c r="C15" s="10">
        <v>1</v>
      </c>
      <c r="D15" s="10" t="s">
        <v>24</v>
      </c>
      <c r="E15" s="10" t="s">
        <v>24</v>
      </c>
      <c r="F15" s="10" t="s">
        <v>24</v>
      </c>
    </row>
    <row r="16" spans="1:6" x14ac:dyDescent="0.2">
      <c r="A16" s="8">
        <v>0.55556712962962962</v>
      </c>
      <c r="B16" s="6">
        <v>8.921875</v>
      </c>
      <c r="C16" s="10">
        <v>0</v>
      </c>
      <c r="D16" s="10" t="s">
        <v>24</v>
      </c>
      <c r="E16" s="10" t="s">
        <v>24</v>
      </c>
      <c r="F16" s="10" t="s">
        <v>24</v>
      </c>
    </row>
    <row r="17" spans="1:6" x14ac:dyDescent="0.2">
      <c r="A17" s="8">
        <v>0.55557870370370366</v>
      </c>
      <c r="B17" s="6">
        <v>9.421875</v>
      </c>
      <c r="C17" s="10">
        <v>0</v>
      </c>
      <c r="D17" s="10" t="s">
        <v>24</v>
      </c>
      <c r="E17" s="10" t="s">
        <v>24</v>
      </c>
      <c r="F17" s="10" t="s">
        <v>24</v>
      </c>
    </row>
    <row r="18" spans="1:6" x14ac:dyDescent="0.2">
      <c r="A18" s="8">
        <v>0.55557870370370366</v>
      </c>
      <c r="B18" s="6">
        <v>9.953125</v>
      </c>
      <c r="C18" s="10">
        <v>2</v>
      </c>
      <c r="D18" s="10" t="s">
        <v>28</v>
      </c>
      <c r="E18" s="9">
        <v>0.67</v>
      </c>
      <c r="F18" s="10" t="s">
        <v>17</v>
      </c>
    </row>
    <row r="19" spans="1:6" x14ac:dyDescent="0.2">
      <c r="A19" s="8">
        <v>0.55559027777777781</v>
      </c>
      <c r="B19" s="6">
        <v>10.46875</v>
      </c>
      <c r="C19" s="10">
        <v>0</v>
      </c>
      <c r="D19" s="10" t="s">
        <v>24</v>
      </c>
      <c r="E19" s="10" t="s">
        <v>24</v>
      </c>
      <c r="F19" s="10" t="s">
        <v>24</v>
      </c>
    </row>
    <row r="20" spans="1:6" x14ac:dyDescent="0.2">
      <c r="A20" s="8">
        <v>0.55559027777777781</v>
      </c>
      <c r="B20" s="6">
        <v>10.96875</v>
      </c>
      <c r="C20" s="10">
        <v>0</v>
      </c>
      <c r="D20" s="10" t="s">
        <v>24</v>
      </c>
      <c r="E20" s="10" t="s">
        <v>24</v>
      </c>
      <c r="F20" s="10" t="s">
        <v>24</v>
      </c>
    </row>
    <row r="21" spans="1:6" x14ac:dyDescent="0.2">
      <c r="A21" s="8">
        <v>0.55560185185185185</v>
      </c>
      <c r="B21" s="6">
        <v>11.46875</v>
      </c>
      <c r="C21" s="10">
        <v>0</v>
      </c>
      <c r="D21" s="10" t="s">
        <v>24</v>
      </c>
      <c r="E21" s="10" t="s">
        <v>24</v>
      </c>
      <c r="F21" s="10" t="s">
        <v>24</v>
      </c>
    </row>
    <row r="22" spans="1:6" x14ac:dyDescent="0.2">
      <c r="A22" s="10"/>
      <c r="C22" s="10"/>
      <c r="D22" s="10"/>
      <c r="E22" s="10"/>
      <c r="F22" s="10"/>
    </row>
    <row r="23" spans="1:6" x14ac:dyDescent="0.2">
      <c r="A23" s="10"/>
      <c r="C23" s="10"/>
      <c r="D23" s="10"/>
      <c r="E23" s="10"/>
      <c r="F23" s="10"/>
    </row>
    <row r="24" spans="1:6" x14ac:dyDescent="0.2">
      <c r="A24" s="10"/>
      <c r="C24" s="10"/>
      <c r="D24" s="10"/>
      <c r="E24" s="10"/>
      <c r="F24" s="10"/>
    </row>
    <row r="25" spans="1:6" x14ac:dyDescent="0.2">
      <c r="A25" s="10"/>
      <c r="C25" s="10"/>
      <c r="D25" s="10"/>
      <c r="E25" s="10"/>
      <c r="F25" s="10"/>
    </row>
    <row r="26" spans="1:6" x14ac:dyDescent="0.2">
      <c r="A26" s="10"/>
      <c r="C26" s="10"/>
      <c r="D26" s="10"/>
      <c r="E26" s="10"/>
      <c r="F26" s="10"/>
    </row>
    <row r="27" spans="1:6" x14ac:dyDescent="0.2">
      <c r="A27" s="10"/>
      <c r="C27" s="10"/>
      <c r="D27" s="10"/>
      <c r="E27" s="10"/>
      <c r="F27" s="10"/>
    </row>
    <row r="28" spans="1:6" x14ac:dyDescent="0.2">
      <c r="A28" s="10"/>
      <c r="C28" s="10"/>
      <c r="D28" s="10"/>
      <c r="E28" s="10"/>
      <c r="F28" s="10"/>
    </row>
    <row r="29" spans="1:6" x14ac:dyDescent="0.2">
      <c r="A29" s="10"/>
      <c r="C29" s="10"/>
      <c r="D29" s="10"/>
      <c r="E29" s="10"/>
      <c r="F29" s="10"/>
    </row>
    <row r="30" spans="1:6" x14ac:dyDescent="0.2">
      <c r="A30" s="10"/>
      <c r="C30" s="10"/>
      <c r="D30" s="10"/>
      <c r="E30" s="10"/>
      <c r="F30" s="10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1A98-4A7E-4ECE-BBB3-539C19F99775}">
  <dimension ref="A1:I21"/>
  <sheetViews>
    <sheetView workbookViewId="0">
      <selection activeCell="I2" sqref="I2"/>
    </sheetView>
  </sheetViews>
  <sheetFormatPr defaultRowHeight="12.75" x14ac:dyDescent="0.2"/>
  <cols>
    <col min="1" max="1" width="12.28515625" style="4" customWidth="1"/>
    <col min="2" max="2" width="10.85546875" style="6" customWidth="1"/>
    <col min="3" max="6" width="9.140625" style="4"/>
    <col min="9" max="9" width="10.7109375" customWidth="1"/>
  </cols>
  <sheetData>
    <row r="1" spans="1:9" x14ac:dyDescent="0.2">
      <c r="A1" s="5" t="s">
        <v>19</v>
      </c>
      <c r="B1" s="7" t="s">
        <v>20</v>
      </c>
      <c r="C1" s="5" t="s">
        <v>26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0.55659722222222219</v>
      </c>
      <c r="B2" s="6">
        <v>1.796875</v>
      </c>
      <c r="C2" s="10">
        <v>808</v>
      </c>
      <c r="D2" s="10" t="s">
        <v>24</v>
      </c>
      <c r="E2" s="10" t="s">
        <v>24</v>
      </c>
      <c r="F2" s="10" t="s">
        <v>24</v>
      </c>
      <c r="G2" s="17"/>
      <c r="H2" s="17">
        <f>AVERAGE(C2:C21)</f>
        <v>811.45</v>
      </c>
      <c r="I2" s="17">
        <f>91*(1023-H2)/H2</f>
        <v>23.724259042454857</v>
      </c>
    </row>
    <row r="3" spans="1:9" x14ac:dyDescent="0.2">
      <c r="A3" s="8">
        <v>0.55659722222222219</v>
      </c>
      <c r="B3" s="6">
        <v>2.2695310000000002</v>
      </c>
      <c r="C3" s="10">
        <v>809</v>
      </c>
      <c r="D3" s="10" t="s">
        <v>24</v>
      </c>
      <c r="E3" s="10" t="s">
        <v>24</v>
      </c>
      <c r="F3" s="10" t="s">
        <v>24</v>
      </c>
      <c r="G3" s="17"/>
      <c r="H3" s="17"/>
      <c r="I3" s="17"/>
    </row>
    <row r="4" spans="1:9" x14ac:dyDescent="0.2">
      <c r="A4" s="8">
        <v>0.55660879629629634</v>
      </c>
      <c r="B4" s="6">
        <v>2.7695310000000002</v>
      </c>
      <c r="C4" s="10">
        <v>809</v>
      </c>
      <c r="D4" s="10" t="s">
        <v>24</v>
      </c>
      <c r="E4" s="10" t="s">
        <v>24</v>
      </c>
      <c r="F4" s="10" t="s">
        <v>24</v>
      </c>
      <c r="G4" s="17"/>
      <c r="H4" s="17"/>
      <c r="I4" s="17"/>
    </row>
    <row r="5" spans="1:9" x14ac:dyDescent="0.2">
      <c r="A5" s="8">
        <v>0.55660879629629634</v>
      </c>
      <c r="B5" s="6">
        <v>3.2851560000000002</v>
      </c>
      <c r="C5" s="10">
        <v>808</v>
      </c>
      <c r="D5" s="10" t="s">
        <v>28</v>
      </c>
      <c r="E5" s="9">
        <v>0.66</v>
      </c>
      <c r="F5" s="10" t="s">
        <v>17</v>
      </c>
      <c r="G5" s="17"/>
      <c r="H5" s="17"/>
      <c r="I5" s="17"/>
    </row>
    <row r="6" spans="1:9" x14ac:dyDescent="0.2">
      <c r="A6" s="8">
        <v>0.55662037037037038</v>
      </c>
      <c r="B6" s="6">
        <v>3.8007810000000002</v>
      </c>
      <c r="C6" s="10">
        <v>809</v>
      </c>
      <c r="D6" s="10" t="s">
        <v>24</v>
      </c>
      <c r="E6" s="10" t="s">
        <v>24</v>
      </c>
      <c r="F6" s="10" t="s">
        <v>24</v>
      </c>
      <c r="G6" s="17"/>
      <c r="H6" s="17"/>
      <c r="I6" s="17"/>
    </row>
    <row r="7" spans="1:9" x14ac:dyDescent="0.2">
      <c r="A7" s="8">
        <v>0.55662037037037038</v>
      </c>
      <c r="B7" s="6">
        <v>4.3164059999999997</v>
      </c>
      <c r="C7" s="10">
        <v>809</v>
      </c>
      <c r="D7" s="10" t="s">
        <v>24</v>
      </c>
      <c r="E7" s="10" t="s">
        <v>24</v>
      </c>
      <c r="F7" s="10" t="s">
        <v>24</v>
      </c>
      <c r="G7" s="17"/>
      <c r="H7" s="17"/>
      <c r="I7" s="17"/>
    </row>
    <row r="8" spans="1:9" x14ac:dyDescent="0.2">
      <c r="A8" s="8">
        <v>0.55663194444444442</v>
      </c>
      <c r="B8" s="6">
        <v>4.8164059999999997</v>
      </c>
      <c r="C8" s="10">
        <v>812</v>
      </c>
      <c r="D8" s="10" t="s">
        <v>24</v>
      </c>
      <c r="E8" s="10" t="s">
        <v>24</v>
      </c>
      <c r="F8" s="10" t="s">
        <v>24</v>
      </c>
      <c r="G8" s="17"/>
      <c r="H8" s="17"/>
      <c r="I8" s="17"/>
    </row>
    <row r="9" spans="1:9" x14ac:dyDescent="0.2">
      <c r="A9" s="8">
        <v>0.55663194444444442</v>
      </c>
      <c r="B9" s="6">
        <v>5.3164059999999997</v>
      </c>
      <c r="C9" s="10">
        <v>812</v>
      </c>
      <c r="D9" s="10" t="s">
        <v>24</v>
      </c>
      <c r="E9" s="10" t="s">
        <v>24</v>
      </c>
      <c r="F9" s="10" t="s">
        <v>24</v>
      </c>
      <c r="G9" s="17"/>
      <c r="H9" s="17"/>
      <c r="I9" s="17"/>
    </row>
    <row r="10" spans="1:9" x14ac:dyDescent="0.2">
      <c r="A10" s="8">
        <v>0.55664351851851857</v>
      </c>
      <c r="B10" s="6">
        <v>5.8320309999999997</v>
      </c>
      <c r="C10" s="10">
        <v>811</v>
      </c>
      <c r="D10" s="10" t="s">
        <v>28</v>
      </c>
      <c r="E10" s="9">
        <v>0.66</v>
      </c>
      <c r="F10" s="10" t="s">
        <v>17</v>
      </c>
      <c r="G10" s="17"/>
      <c r="H10" s="17"/>
      <c r="I10" s="17"/>
    </row>
    <row r="11" spans="1:9" x14ac:dyDescent="0.2">
      <c r="A11" s="8">
        <v>0.5566550925925926</v>
      </c>
      <c r="B11" s="6">
        <v>6.3476559999999997</v>
      </c>
      <c r="C11" s="10">
        <v>812</v>
      </c>
      <c r="D11" s="10" t="s">
        <v>24</v>
      </c>
      <c r="E11" s="10" t="s">
        <v>24</v>
      </c>
      <c r="F11" s="10" t="s">
        <v>24</v>
      </c>
      <c r="G11" s="17"/>
      <c r="H11" s="17"/>
      <c r="I11" s="17"/>
    </row>
    <row r="12" spans="1:9" x14ac:dyDescent="0.2">
      <c r="A12" s="8">
        <v>0.5566550925925926</v>
      </c>
      <c r="B12" s="6">
        <v>6.8476559999999997</v>
      </c>
      <c r="C12" s="10">
        <v>812</v>
      </c>
      <c r="D12" s="10" t="s">
        <v>24</v>
      </c>
      <c r="E12" s="10" t="s">
        <v>24</v>
      </c>
      <c r="F12" s="10" t="s">
        <v>24</v>
      </c>
      <c r="G12" s="17"/>
      <c r="H12" s="17"/>
      <c r="I12" s="17"/>
    </row>
    <row r="13" spans="1:9" x14ac:dyDescent="0.2">
      <c r="A13" s="8">
        <v>0.55666666666666664</v>
      </c>
      <c r="B13" s="6">
        <v>7.3632809999999997</v>
      </c>
      <c r="C13" s="10">
        <v>811</v>
      </c>
      <c r="D13" s="10" t="s">
        <v>24</v>
      </c>
      <c r="E13" s="10" t="s">
        <v>24</v>
      </c>
      <c r="F13" s="10" t="s">
        <v>24</v>
      </c>
      <c r="G13" s="17"/>
      <c r="H13" s="17"/>
      <c r="I13" s="17"/>
    </row>
    <row r="14" spans="1:9" x14ac:dyDescent="0.2">
      <c r="A14" s="8">
        <v>0.55666666666666664</v>
      </c>
      <c r="B14" s="6">
        <v>7.8632809999999997</v>
      </c>
      <c r="C14" s="10">
        <v>812</v>
      </c>
      <c r="D14" s="10" t="s">
        <v>24</v>
      </c>
      <c r="E14" s="10" t="s">
        <v>24</v>
      </c>
      <c r="F14" s="10" t="s">
        <v>24</v>
      </c>
      <c r="G14" s="17"/>
      <c r="H14" s="17"/>
      <c r="I14" s="17"/>
    </row>
    <row r="15" spans="1:9" x14ac:dyDescent="0.2">
      <c r="A15" s="8">
        <v>0.55667824074074079</v>
      </c>
      <c r="B15" s="6">
        <v>8.3789060000000006</v>
      </c>
      <c r="C15" s="10">
        <v>814</v>
      </c>
      <c r="D15" s="10" t="s">
        <v>28</v>
      </c>
      <c r="E15" s="9">
        <v>0.66</v>
      </c>
      <c r="F15" s="10" t="s">
        <v>17</v>
      </c>
      <c r="G15" s="17"/>
      <c r="H15" s="17"/>
      <c r="I15" s="17"/>
    </row>
    <row r="16" spans="1:9" x14ac:dyDescent="0.2">
      <c r="A16" s="8">
        <v>0.55667824074074079</v>
      </c>
      <c r="B16" s="6">
        <v>8.8945310000000006</v>
      </c>
      <c r="C16" s="10">
        <v>814</v>
      </c>
      <c r="D16" s="10" t="s">
        <v>24</v>
      </c>
      <c r="E16" s="10" t="s">
        <v>24</v>
      </c>
      <c r="F16" s="10" t="s">
        <v>24</v>
      </c>
      <c r="G16" s="17"/>
      <c r="H16" s="17"/>
      <c r="I16" s="17"/>
    </row>
    <row r="17" spans="1:9" x14ac:dyDescent="0.2">
      <c r="A17" s="8">
        <v>0.55668981481481483</v>
      </c>
      <c r="B17" s="6">
        <v>9.390625</v>
      </c>
      <c r="C17" s="10">
        <v>813</v>
      </c>
      <c r="D17" s="10" t="s">
        <v>24</v>
      </c>
      <c r="E17" s="10" t="s">
        <v>24</v>
      </c>
      <c r="F17" s="10" t="s">
        <v>24</v>
      </c>
      <c r="G17" s="17"/>
      <c r="H17" s="17"/>
      <c r="I17" s="17"/>
    </row>
    <row r="18" spans="1:9" x14ac:dyDescent="0.2">
      <c r="A18" s="8">
        <v>0.55668981481481483</v>
      </c>
      <c r="B18" s="6">
        <v>9.9101560000000006</v>
      </c>
      <c r="C18" s="10">
        <v>811</v>
      </c>
      <c r="D18" s="10" t="s">
        <v>24</v>
      </c>
      <c r="E18" s="10" t="s">
        <v>24</v>
      </c>
      <c r="F18" s="10" t="s">
        <v>24</v>
      </c>
      <c r="G18" s="17"/>
      <c r="H18" s="17"/>
      <c r="I18" s="17"/>
    </row>
    <row r="19" spans="1:9" x14ac:dyDescent="0.2">
      <c r="A19" s="8">
        <v>0.55670138888888887</v>
      </c>
      <c r="B19" s="6">
        <v>10.39063</v>
      </c>
      <c r="C19" s="10">
        <v>813</v>
      </c>
      <c r="D19" s="10" t="s">
        <v>24</v>
      </c>
      <c r="E19" s="10" t="s">
        <v>24</v>
      </c>
      <c r="F19" s="10" t="s">
        <v>24</v>
      </c>
      <c r="G19" s="17"/>
      <c r="H19" s="17"/>
      <c r="I19" s="17"/>
    </row>
    <row r="20" spans="1:9" x14ac:dyDescent="0.2">
      <c r="A20" s="8">
        <v>0.55670138888888887</v>
      </c>
      <c r="B20" s="6">
        <v>10.92188</v>
      </c>
      <c r="C20" s="10">
        <v>815</v>
      </c>
      <c r="D20" s="10" t="s">
        <v>28</v>
      </c>
      <c r="E20" s="9">
        <v>0.66</v>
      </c>
      <c r="F20" s="10" t="s">
        <v>17</v>
      </c>
      <c r="G20" s="17"/>
      <c r="H20" s="17"/>
      <c r="I20" s="17"/>
    </row>
    <row r="21" spans="1:9" x14ac:dyDescent="0.2">
      <c r="A21" s="8">
        <v>0.55671296296296291</v>
      </c>
      <c r="B21" s="6">
        <v>11.4375</v>
      </c>
      <c r="C21" s="10">
        <v>815</v>
      </c>
      <c r="D21" s="10" t="s">
        <v>24</v>
      </c>
      <c r="E21" s="10" t="s">
        <v>24</v>
      </c>
      <c r="F21" s="10" t="s">
        <v>24</v>
      </c>
      <c r="G21" s="17"/>
      <c r="H21" s="17"/>
      <c r="I21" s="17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70D5-132F-4E03-9D57-D693B92F42D4}">
  <dimension ref="A1:I22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26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0.56207175925925923</v>
      </c>
      <c r="B2" s="6">
        <v>1.7890630000000001</v>
      </c>
      <c r="C2" s="10">
        <v>800</v>
      </c>
      <c r="D2" s="10" t="s">
        <v>24</v>
      </c>
      <c r="E2" s="10" t="s">
        <v>24</v>
      </c>
      <c r="F2" s="10" t="s">
        <v>24</v>
      </c>
      <c r="G2" s="17"/>
      <c r="H2" s="17">
        <f>AVERAGE(C2:C21)</f>
        <v>800.25</v>
      </c>
      <c r="I2" s="17">
        <f>91*(1023-H2)/H2</f>
        <v>25.329896907216494</v>
      </c>
    </row>
    <row r="3" spans="1:9" x14ac:dyDescent="0.2">
      <c r="A3" s="8">
        <v>0.56207175925925923</v>
      </c>
      <c r="B3" s="6">
        <v>2.2578130000000001</v>
      </c>
      <c r="C3" s="10">
        <v>802</v>
      </c>
      <c r="D3" s="10" t="s">
        <v>24</v>
      </c>
      <c r="E3" s="10" t="s">
        <v>24</v>
      </c>
      <c r="F3" s="10" t="s">
        <v>24</v>
      </c>
      <c r="G3" s="17"/>
      <c r="H3" s="17"/>
      <c r="I3" s="17"/>
    </row>
    <row r="4" spans="1:9" x14ac:dyDescent="0.2">
      <c r="A4" s="8">
        <v>0.56208333333333338</v>
      </c>
      <c r="B4" s="6">
        <v>2.7578130000000001</v>
      </c>
      <c r="C4" s="10">
        <v>802</v>
      </c>
      <c r="D4" s="10" t="s">
        <v>24</v>
      </c>
      <c r="E4" s="10" t="s">
        <v>24</v>
      </c>
      <c r="F4" s="10" t="s">
        <v>24</v>
      </c>
      <c r="G4" s="17"/>
      <c r="H4" s="17"/>
      <c r="I4" s="17"/>
    </row>
    <row r="5" spans="1:9" x14ac:dyDescent="0.2">
      <c r="A5" s="8">
        <v>0.56208333333333338</v>
      </c>
      <c r="B5" s="6">
        <v>3.2851560000000002</v>
      </c>
      <c r="C5" s="10">
        <v>800</v>
      </c>
      <c r="D5" s="10" t="s">
        <v>28</v>
      </c>
      <c r="E5" s="9">
        <v>0.67</v>
      </c>
      <c r="F5" s="10" t="s">
        <v>17</v>
      </c>
      <c r="G5" s="17"/>
      <c r="H5" s="17"/>
      <c r="I5" s="17"/>
    </row>
    <row r="6" spans="1:9" x14ac:dyDescent="0.2">
      <c r="A6" s="8">
        <v>0.56209490740740742</v>
      </c>
      <c r="B6" s="6">
        <v>3.8046880000000001</v>
      </c>
      <c r="C6" s="10">
        <v>800</v>
      </c>
      <c r="D6" s="10" t="s">
        <v>24</v>
      </c>
      <c r="E6" s="10" t="s">
        <v>24</v>
      </c>
      <c r="F6" s="10" t="s">
        <v>24</v>
      </c>
      <c r="G6" s="17"/>
      <c r="H6" s="17"/>
      <c r="I6" s="17"/>
    </row>
    <row r="7" spans="1:9" x14ac:dyDescent="0.2">
      <c r="A7" s="8">
        <v>0.56209490740740742</v>
      </c>
      <c r="B7" s="6">
        <v>4.3046879999999996</v>
      </c>
      <c r="C7" s="10">
        <v>799</v>
      </c>
      <c r="D7" s="10" t="s">
        <v>24</v>
      </c>
      <c r="E7" s="10" t="s">
        <v>24</v>
      </c>
      <c r="F7" s="10" t="s">
        <v>24</v>
      </c>
      <c r="G7" s="17"/>
      <c r="H7" s="17"/>
      <c r="I7" s="17"/>
    </row>
    <row r="8" spans="1:9" x14ac:dyDescent="0.2">
      <c r="A8" s="8">
        <v>0.56210648148148146</v>
      </c>
      <c r="B8" s="6">
        <v>4.8046879999999996</v>
      </c>
      <c r="C8" s="10">
        <v>799</v>
      </c>
      <c r="D8" s="10" t="s">
        <v>24</v>
      </c>
      <c r="E8" s="10" t="s">
        <v>24</v>
      </c>
      <c r="F8" s="10" t="s">
        <v>24</v>
      </c>
      <c r="G8" s="17"/>
      <c r="H8" s="17"/>
      <c r="I8" s="17"/>
    </row>
    <row r="9" spans="1:9" x14ac:dyDescent="0.2">
      <c r="A9" s="8">
        <v>0.56210648148148146</v>
      </c>
      <c r="B9" s="6">
        <v>5.3046879999999996</v>
      </c>
      <c r="C9" s="10">
        <v>800</v>
      </c>
      <c r="D9" s="10" t="s">
        <v>24</v>
      </c>
      <c r="E9" s="10" t="s">
        <v>24</v>
      </c>
      <c r="F9" s="10" t="s">
        <v>24</v>
      </c>
      <c r="G9" s="17"/>
      <c r="H9" s="17"/>
      <c r="I9" s="17"/>
    </row>
    <row r="10" spans="1:9" x14ac:dyDescent="0.2">
      <c r="A10" s="8">
        <v>0.56211805555555561</v>
      </c>
      <c r="B10" s="6">
        <v>5.8359379999999996</v>
      </c>
      <c r="C10" s="10">
        <v>801</v>
      </c>
      <c r="D10" s="10" t="s">
        <v>28</v>
      </c>
      <c r="E10" s="9">
        <v>0.67</v>
      </c>
      <c r="F10" s="10" t="s">
        <v>17</v>
      </c>
      <c r="G10" s="17"/>
      <c r="H10" s="17"/>
      <c r="I10" s="17"/>
    </row>
    <row r="11" spans="1:9" x14ac:dyDescent="0.2">
      <c r="A11" s="8">
        <v>0.56211805555555561</v>
      </c>
      <c r="B11" s="6">
        <v>6.3515629999999996</v>
      </c>
      <c r="C11" s="10">
        <v>802</v>
      </c>
      <c r="D11" s="10" t="s">
        <v>24</v>
      </c>
      <c r="E11" s="10" t="s">
        <v>24</v>
      </c>
      <c r="F11" s="10" t="s">
        <v>24</v>
      </c>
      <c r="G11" s="17"/>
      <c r="H11" s="17"/>
      <c r="I11" s="17"/>
    </row>
    <row r="12" spans="1:9" x14ac:dyDescent="0.2">
      <c r="A12" s="8">
        <v>0.56212962962962965</v>
      </c>
      <c r="B12" s="6">
        <v>6.8476559999999997</v>
      </c>
      <c r="C12" s="10">
        <v>798</v>
      </c>
      <c r="D12" s="10" t="s">
        <v>24</v>
      </c>
      <c r="E12" s="10" t="s">
        <v>24</v>
      </c>
      <c r="F12" s="10" t="s">
        <v>24</v>
      </c>
      <c r="G12" s="17"/>
      <c r="H12" s="17"/>
      <c r="I12" s="17"/>
    </row>
    <row r="13" spans="1:9" x14ac:dyDescent="0.2">
      <c r="A13" s="8">
        <v>0.56212962962962965</v>
      </c>
      <c r="B13" s="6">
        <v>7.3476559999999997</v>
      </c>
      <c r="C13" s="10">
        <v>799</v>
      </c>
      <c r="D13" s="10" t="s">
        <v>24</v>
      </c>
      <c r="E13" s="10" t="s">
        <v>24</v>
      </c>
      <c r="F13" s="10" t="s">
        <v>24</v>
      </c>
      <c r="G13" s="17"/>
      <c r="H13" s="17"/>
      <c r="I13" s="17"/>
    </row>
    <row r="14" spans="1:9" x14ac:dyDescent="0.2">
      <c r="A14" s="8">
        <v>0.56214120370370368</v>
      </c>
      <c r="B14" s="6">
        <v>7.8476559999999997</v>
      </c>
      <c r="C14" s="10">
        <v>801</v>
      </c>
      <c r="D14" s="10" t="s">
        <v>24</v>
      </c>
      <c r="E14" s="10" t="s">
        <v>24</v>
      </c>
      <c r="F14" s="10" t="s">
        <v>24</v>
      </c>
      <c r="G14" s="17"/>
      <c r="H14" s="17"/>
      <c r="I14" s="17"/>
    </row>
    <row r="15" spans="1:9" x14ac:dyDescent="0.2">
      <c r="A15" s="8">
        <v>0.56214120370370368</v>
      </c>
      <c r="B15" s="6">
        <v>8.3789060000000006</v>
      </c>
      <c r="C15" s="10">
        <v>801</v>
      </c>
      <c r="D15" s="10" t="s">
        <v>28</v>
      </c>
      <c r="E15" s="9">
        <v>0.67</v>
      </c>
      <c r="F15" s="10" t="s">
        <v>17</v>
      </c>
      <c r="G15" s="17"/>
      <c r="H15" s="17"/>
      <c r="I15" s="17"/>
    </row>
    <row r="16" spans="1:9" x14ac:dyDescent="0.2">
      <c r="A16" s="8">
        <v>0.56215277777777772</v>
      </c>
      <c r="B16" s="6">
        <v>8.8945310000000006</v>
      </c>
      <c r="C16" s="10">
        <v>801</v>
      </c>
      <c r="D16" s="10" t="s">
        <v>24</v>
      </c>
      <c r="E16" s="10" t="s">
        <v>24</v>
      </c>
      <c r="F16" s="10" t="s">
        <v>24</v>
      </c>
      <c r="G16" s="17"/>
      <c r="H16" s="17"/>
      <c r="I16" s="17"/>
    </row>
    <row r="17" spans="1:9" x14ac:dyDescent="0.2">
      <c r="A17" s="8">
        <v>0.56215277777777772</v>
      </c>
      <c r="B17" s="6">
        <v>9.3945310000000006</v>
      </c>
      <c r="C17" s="10">
        <v>801</v>
      </c>
      <c r="D17" s="10" t="s">
        <v>24</v>
      </c>
      <c r="E17" s="10" t="s">
        <v>24</v>
      </c>
      <c r="F17" s="10" t="s">
        <v>24</v>
      </c>
      <c r="G17" s="17"/>
      <c r="H17" s="17"/>
      <c r="I17" s="17"/>
    </row>
    <row r="18" spans="1:9" x14ac:dyDescent="0.2">
      <c r="A18" s="8">
        <v>0.56216435185185187</v>
      </c>
      <c r="B18" s="6">
        <v>9.8945310000000006</v>
      </c>
      <c r="C18" s="10">
        <v>799</v>
      </c>
      <c r="D18" s="10" t="s">
        <v>24</v>
      </c>
      <c r="E18" s="10" t="s">
        <v>24</v>
      </c>
      <c r="F18" s="10" t="s">
        <v>24</v>
      </c>
      <c r="G18" s="17"/>
      <c r="H18" s="17"/>
      <c r="I18" s="17"/>
    </row>
    <row r="19" spans="1:9" x14ac:dyDescent="0.2">
      <c r="A19" s="8">
        <v>0.56216435185185187</v>
      </c>
      <c r="B19" s="6">
        <v>10.39453</v>
      </c>
      <c r="C19" s="10">
        <v>802</v>
      </c>
      <c r="D19" s="10" t="s">
        <v>24</v>
      </c>
      <c r="E19" s="10" t="s">
        <v>24</v>
      </c>
      <c r="F19" s="10" t="s">
        <v>24</v>
      </c>
      <c r="G19" s="17"/>
      <c r="H19" s="17"/>
      <c r="I19" s="17"/>
    </row>
    <row r="20" spans="1:9" x14ac:dyDescent="0.2">
      <c r="A20" s="8">
        <v>0.56217592592592591</v>
      </c>
      <c r="B20" s="6">
        <v>10.92578</v>
      </c>
      <c r="C20" s="10">
        <v>798</v>
      </c>
      <c r="D20" s="10" t="s">
        <v>28</v>
      </c>
      <c r="E20" s="9">
        <v>0.67</v>
      </c>
      <c r="F20" s="10" t="s">
        <v>17</v>
      </c>
      <c r="G20" s="17"/>
      <c r="H20" s="17"/>
      <c r="I20" s="17"/>
    </row>
    <row r="21" spans="1:9" x14ac:dyDescent="0.2">
      <c r="A21" s="8">
        <v>0.56217592592592591</v>
      </c>
      <c r="B21" s="6">
        <v>11.441409999999999</v>
      </c>
      <c r="C21" s="10">
        <v>800</v>
      </c>
      <c r="D21" s="10" t="s">
        <v>24</v>
      </c>
      <c r="E21" s="10" t="s">
        <v>24</v>
      </c>
      <c r="F21" s="10" t="s">
        <v>24</v>
      </c>
      <c r="G21" s="17"/>
      <c r="H21" s="17"/>
      <c r="I21" s="17"/>
    </row>
    <row r="22" spans="1:9" x14ac:dyDescent="0.2">
      <c r="A22" s="10"/>
      <c r="C22" s="10"/>
      <c r="D22" s="10"/>
      <c r="E22" s="10"/>
      <c r="F22" s="10"/>
      <c r="G22" s="17"/>
      <c r="H22" s="17"/>
      <c r="I22" s="17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A5058-EED8-46E7-BD51-C7EFFAB1F147}">
  <dimension ref="A1:I22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9.140625" customWidth="1"/>
  </cols>
  <sheetData>
    <row r="1" spans="1:9" x14ac:dyDescent="0.2">
      <c r="A1" s="5" t="s">
        <v>19</v>
      </c>
      <c r="B1" s="7" t="s">
        <v>20</v>
      </c>
      <c r="C1" s="5" t="s">
        <v>26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0.56451388888888887</v>
      </c>
      <c r="B2" s="6">
        <v>1.8046880000000001</v>
      </c>
      <c r="C2" s="10">
        <v>800</v>
      </c>
      <c r="D2" s="10" t="s">
        <v>24</v>
      </c>
      <c r="E2" s="10" t="s">
        <v>24</v>
      </c>
      <c r="F2" s="10" t="s">
        <v>24</v>
      </c>
      <c r="G2" s="17"/>
      <c r="H2" s="17">
        <f>AVERAGE(C2:C21)</f>
        <v>801.75</v>
      </c>
      <c r="I2" s="17">
        <f>91*(1023-H2)/H2</f>
        <v>25.112254443405053</v>
      </c>
    </row>
    <row r="3" spans="1:9" x14ac:dyDescent="0.2">
      <c r="A3" s="8">
        <v>0.56451388888888887</v>
      </c>
      <c r="B3" s="6">
        <v>2.2734380000000001</v>
      </c>
      <c r="C3" s="10">
        <v>799</v>
      </c>
      <c r="D3" s="10" t="s">
        <v>24</v>
      </c>
      <c r="E3" s="10" t="s">
        <v>24</v>
      </c>
      <c r="F3" s="10" t="s">
        <v>24</v>
      </c>
      <c r="G3" s="17"/>
      <c r="H3" s="17"/>
      <c r="I3" s="17"/>
    </row>
    <row r="4" spans="1:9" x14ac:dyDescent="0.2">
      <c r="A4" s="8">
        <v>0.56452546296296291</v>
      </c>
      <c r="B4" s="6">
        <v>2.7734380000000001</v>
      </c>
      <c r="C4" s="10">
        <v>802</v>
      </c>
      <c r="D4" s="10" t="s">
        <v>24</v>
      </c>
      <c r="E4" s="10" t="s">
        <v>24</v>
      </c>
      <c r="F4" s="10" t="s">
        <v>24</v>
      </c>
      <c r="G4" s="17"/>
      <c r="H4" s="17"/>
      <c r="I4" s="17"/>
    </row>
    <row r="5" spans="1:9" x14ac:dyDescent="0.2">
      <c r="A5" s="8">
        <v>0.56452546296296291</v>
      </c>
      <c r="B5" s="6">
        <v>3.2890630000000001</v>
      </c>
      <c r="C5" s="10">
        <v>800</v>
      </c>
      <c r="D5" s="10" t="s">
        <v>28</v>
      </c>
      <c r="E5" s="9">
        <v>0.67</v>
      </c>
      <c r="F5" s="10" t="s">
        <v>17</v>
      </c>
      <c r="G5" s="17"/>
      <c r="H5" s="17"/>
      <c r="I5" s="17"/>
    </row>
    <row r="6" spans="1:9" x14ac:dyDescent="0.2">
      <c r="A6" s="8">
        <v>0.56453703703703706</v>
      </c>
      <c r="B6" s="6">
        <v>3.8046880000000001</v>
      </c>
      <c r="C6" s="10">
        <v>800</v>
      </c>
      <c r="D6" s="10" t="s">
        <v>24</v>
      </c>
      <c r="E6" s="10" t="s">
        <v>24</v>
      </c>
      <c r="F6" s="10" t="s">
        <v>24</v>
      </c>
      <c r="G6" s="17"/>
      <c r="H6" s="17"/>
      <c r="I6" s="17"/>
    </row>
    <row r="7" spans="1:9" x14ac:dyDescent="0.2">
      <c r="A7" s="8">
        <v>0.56453703703703706</v>
      </c>
      <c r="B7" s="6">
        <v>4.3203129999999996</v>
      </c>
      <c r="C7" s="10">
        <v>802</v>
      </c>
      <c r="D7" s="10" t="s">
        <v>24</v>
      </c>
      <c r="E7" s="10" t="s">
        <v>24</v>
      </c>
      <c r="F7" s="10" t="s">
        <v>24</v>
      </c>
      <c r="G7" s="17"/>
      <c r="H7" s="17"/>
      <c r="I7" s="17"/>
    </row>
    <row r="8" spans="1:9" x14ac:dyDescent="0.2">
      <c r="A8" s="8">
        <v>0.5645486111111111</v>
      </c>
      <c r="B8" s="6">
        <v>4.8203129999999996</v>
      </c>
      <c r="C8" s="10">
        <v>803</v>
      </c>
      <c r="D8" s="10" t="s">
        <v>24</v>
      </c>
      <c r="E8" s="10" t="s">
        <v>24</v>
      </c>
      <c r="F8" s="10" t="s">
        <v>24</v>
      </c>
      <c r="G8" s="17"/>
      <c r="H8" s="17"/>
      <c r="I8" s="17"/>
    </row>
    <row r="9" spans="1:9" x14ac:dyDescent="0.2">
      <c r="A9" s="8">
        <v>0.5645486111111111</v>
      </c>
      <c r="B9" s="6">
        <v>5.3203129999999996</v>
      </c>
      <c r="C9" s="10">
        <v>800</v>
      </c>
      <c r="D9" s="10" t="s">
        <v>24</v>
      </c>
      <c r="E9" s="10" t="s">
        <v>24</v>
      </c>
      <c r="F9" s="10" t="s">
        <v>24</v>
      </c>
      <c r="G9" s="17"/>
      <c r="H9" s="17"/>
      <c r="I9" s="17"/>
    </row>
    <row r="10" spans="1:9" x14ac:dyDescent="0.2">
      <c r="A10" s="8">
        <v>0.56456018518518514</v>
      </c>
      <c r="B10" s="6">
        <v>5.8359379999999996</v>
      </c>
      <c r="C10" s="10">
        <v>803</v>
      </c>
      <c r="D10" s="10" t="s">
        <v>28</v>
      </c>
      <c r="E10" s="9">
        <v>0.67</v>
      </c>
      <c r="F10" s="10" t="s">
        <v>17</v>
      </c>
      <c r="G10" s="17"/>
      <c r="H10" s="17"/>
      <c r="I10" s="17"/>
    </row>
    <row r="11" spans="1:9" x14ac:dyDescent="0.2">
      <c r="A11" s="8">
        <v>0.56456018518518514</v>
      </c>
      <c r="B11" s="6">
        <v>6.3515629999999996</v>
      </c>
      <c r="C11" s="10">
        <v>802</v>
      </c>
      <c r="D11" s="10" t="s">
        <v>24</v>
      </c>
      <c r="E11" s="10" t="s">
        <v>24</v>
      </c>
      <c r="F11" s="10" t="s">
        <v>24</v>
      </c>
      <c r="G11" s="17"/>
      <c r="H11" s="17"/>
      <c r="I11" s="17"/>
    </row>
    <row r="12" spans="1:9" x14ac:dyDescent="0.2">
      <c r="A12" s="8">
        <v>0.56457175925925929</v>
      </c>
      <c r="B12" s="6">
        <v>6.8515629999999996</v>
      </c>
      <c r="C12" s="10">
        <v>803</v>
      </c>
      <c r="D12" s="10" t="s">
        <v>24</v>
      </c>
      <c r="E12" s="10" t="s">
        <v>24</v>
      </c>
      <c r="F12" s="10" t="s">
        <v>24</v>
      </c>
      <c r="G12" s="17"/>
      <c r="H12" s="17"/>
      <c r="I12" s="17"/>
    </row>
    <row r="13" spans="1:9" x14ac:dyDescent="0.2">
      <c r="A13" s="8">
        <v>0.56457175925925929</v>
      </c>
      <c r="B13" s="6">
        <v>7.3671879999999996</v>
      </c>
      <c r="C13" s="10">
        <v>801</v>
      </c>
      <c r="D13" s="10" t="s">
        <v>24</v>
      </c>
      <c r="E13" s="10" t="s">
        <v>24</v>
      </c>
      <c r="F13" s="10" t="s">
        <v>24</v>
      </c>
      <c r="G13" s="17"/>
      <c r="H13" s="17"/>
      <c r="I13" s="17"/>
    </row>
    <row r="14" spans="1:9" x14ac:dyDescent="0.2">
      <c r="A14" s="8">
        <v>0.56458333333333333</v>
      </c>
      <c r="B14" s="6">
        <v>7.8671879999999996</v>
      </c>
      <c r="C14" s="10">
        <v>801</v>
      </c>
      <c r="D14" s="10" t="s">
        <v>24</v>
      </c>
      <c r="E14" s="10" t="s">
        <v>24</v>
      </c>
      <c r="F14" s="10" t="s">
        <v>24</v>
      </c>
      <c r="G14" s="17"/>
      <c r="H14" s="17"/>
      <c r="I14" s="17"/>
    </row>
    <row r="15" spans="1:9" x14ac:dyDescent="0.2">
      <c r="A15" s="8">
        <v>0.56458333333333333</v>
      </c>
      <c r="B15" s="6">
        <v>8.3828130000000005</v>
      </c>
      <c r="C15" s="10">
        <v>803</v>
      </c>
      <c r="D15" s="10" t="s">
        <v>28</v>
      </c>
      <c r="E15" s="9">
        <v>0.67</v>
      </c>
      <c r="F15" s="10" t="s">
        <v>17</v>
      </c>
      <c r="G15" s="17"/>
      <c r="H15" s="17"/>
      <c r="I15" s="17"/>
    </row>
    <row r="16" spans="1:9" x14ac:dyDescent="0.2">
      <c r="A16" s="8">
        <v>0.56459490740740736</v>
      </c>
      <c r="B16" s="6">
        <v>8.8984380000000005</v>
      </c>
      <c r="C16" s="10">
        <v>803</v>
      </c>
      <c r="D16" s="10" t="s">
        <v>24</v>
      </c>
      <c r="E16" s="10" t="s">
        <v>24</v>
      </c>
      <c r="F16" s="10" t="s">
        <v>24</v>
      </c>
      <c r="G16" s="17"/>
      <c r="H16" s="17"/>
      <c r="I16" s="17"/>
    </row>
    <row r="17" spans="1:9" x14ac:dyDescent="0.2">
      <c r="A17" s="8">
        <v>0.56459490740740736</v>
      </c>
      <c r="B17" s="6">
        <v>9.3984380000000005</v>
      </c>
      <c r="C17" s="10">
        <v>804</v>
      </c>
      <c r="D17" s="10" t="s">
        <v>24</v>
      </c>
      <c r="E17" s="10" t="s">
        <v>24</v>
      </c>
      <c r="F17" s="10" t="s">
        <v>24</v>
      </c>
      <c r="G17" s="17"/>
      <c r="H17" s="17"/>
      <c r="I17" s="17"/>
    </row>
    <row r="18" spans="1:9" x14ac:dyDescent="0.2">
      <c r="A18" s="8">
        <v>0.56460648148148151</v>
      </c>
      <c r="B18" s="6">
        <v>9.9101560000000006</v>
      </c>
      <c r="C18" s="10">
        <v>802</v>
      </c>
      <c r="D18" s="10" t="s">
        <v>24</v>
      </c>
      <c r="E18" s="10" t="s">
        <v>24</v>
      </c>
      <c r="F18" s="10" t="s">
        <v>24</v>
      </c>
      <c r="G18" s="17"/>
      <c r="H18" s="17"/>
      <c r="I18" s="17"/>
    </row>
    <row r="19" spans="1:9" x14ac:dyDescent="0.2">
      <c r="A19" s="8">
        <v>0.56460648148148151</v>
      </c>
      <c r="B19" s="6">
        <v>10.398440000000001</v>
      </c>
      <c r="C19" s="10">
        <v>804</v>
      </c>
      <c r="D19" s="10" t="s">
        <v>24</v>
      </c>
      <c r="E19" s="10" t="s">
        <v>24</v>
      </c>
      <c r="F19" s="10" t="s">
        <v>24</v>
      </c>
      <c r="G19" s="17"/>
      <c r="H19" s="17"/>
      <c r="I19" s="17"/>
    </row>
    <row r="20" spans="1:9" x14ac:dyDescent="0.2">
      <c r="A20" s="8">
        <v>0.56461805555555555</v>
      </c>
      <c r="B20" s="6">
        <v>10.929690000000001</v>
      </c>
      <c r="C20" s="10">
        <v>802</v>
      </c>
      <c r="D20" s="10" t="s">
        <v>28</v>
      </c>
      <c r="E20" s="9">
        <v>0.67</v>
      </c>
      <c r="F20" s="10" t="s">
        <v>17</v>
      </c>
      <c r="G20" s="17"/>
      <c r="H20" s="17"/>
      <c r="I20" s="17"/>
    </row>
    <row r="21" spans="1:9" x14ac:dyDescent="0.2">
      <c r="A21" s="8">
        <v>0.56461805555555555</v>
      </c>
      <c r="B21" s="6">
        <v>11.44922</v>
      </c>
      <c r="C21" s="10">
        <v>801</v>
      </c>
      <c r="D21" s="10" t="s">
        <v>24</v>
      </c>
      <c r="E21" s="10" t="s">
        <v>24</v>
      </c>
      <c r="F21" s="10" t="s">
        <v>24</v>
      </c>
      <c r="G21" s="17"/>
      <c r="H21" s="17"/>
      <c r="I21" s="17"/>
    </row>
    <row r="22" spans="1:9" x14ac:dyDescent="0.2">
      <c r="A22" s="8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AA0-7B34-4E20-A60C-8CA3AED583A0}">
  <dimension ref="A1:I21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10.28515625" customWidth="1"/>
  </cols>
  <sheetData>
    <row r="1" spans="1:9" x14ac:dyDescent="0.2">
      <c r="A1" s="5" t="s">
        <v>19</v>
      </c>
      <c r="B1" s="7" t="s">
        <v>20</v>
      </c>
      <c r="C1" s="5" t="s">
        <v>26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0.56109953703703708</v>
      </c>
      <c r="B2" s="6">
        <v>1.796875</v>
      </c>
      <c r="C2" s="10">
        <v>786</v>
      </c>
      <c r="D2" s="10" t="s">
        <v>24</v>
      </c>
      <c r="E2" s="10" t="s">
        <v>24</v>
      </c>
      <c r="F2" s="10" t="s">
        <v>24</v>
      </c>
      <c r="G2" s="17"/>
      <c r="H2" s="17">
        <f>AVERAGE(C2:C21)</f>
        <v>789.4</v>
      </c>
      <c r="I2" s="17">
        <f>91*(1023-H2)/H2</f>
        <v>26.928806688624274</v>
      </c>
    </row>
    <row r="3" spans="1:9" x14ac:dyDescent="0.2">
      <c r="A3" s="8">
        <v>0.56109953703703708</v>
      </c>
      <c r="B3" s="6">
        <v>2.265625</v>
      </c>
      <c r="C3" s="10">
        <v>788</v>
      </c>
      <c r="D3" s="10" t="s">
        <v>24</v>
      </c>
      <c r="E3" s="10" t="s">
        <v>24</v>
      </c>
      <c r="F3" s="10" t="s">
        <v>24</v>
      </c>
      <c r="G3" s="17"/>
      <c r="H3" s="17"/>
      <c r="I3" s="17"/>
    </row>
    <row r="4" spans="1:9" x14ac:dyDescent="0.2">
      <c r="A4" s="8">
        <v>0.56111111111111112</v>
      </c>
      <c r="B4" s="6">
        <v>2.765625</v>
      </c>
      <c r="C4" s="10">
        <v>790</v>
      </c>
      <c r="D4" s="10" t="s">
        <v>24</v>
      </c>
      <c r="E4" s="10" t="s">
        <v>24</v>
      </c>
      <c r="F4" s="10" t="s">
        <v>24</v>
      </c>
      <c r="G4" s="17"/>
      <c r="H4" s="17"/>
      <c r="I4" s="17"/>
    </row>
    <row r="5" spans="1:9" x14ac:dyDescent="0.2">
      <c r="A5" s="8">
        <v>0.56111111111111112</v>
      </c>
      <c r="B5" s="6">
        <v>3.296875</v>
      </c>
      <c r="C5" s="10">
        <v>788</v>
      </c>
      <c r="D5" s="10" t="s">
        <v>28</v>
      </c>
      <c r="E5" s="9">
        <v>0.66</v>
      </c>
      <c r="F5" s="10" t="s">
        <v>17</v>
      </c>
      <c r="G5" s="17"/>
      <c r="H5" s="17"/>
      <c r="I5" s="17"/>
    </row>
    <row r="6" spans="1:9" x14ac:dyDescent="0.2">
      <c r="A6" s="8">
        <v>0.56112268518518515</v>
      </c>
      <c r="B6" s="6">
        <v>3.8125</v>
      </c>
      <c r="C6" s="10">
        <v>786</v>
      </c>
      <c r="D6" s="10" t="s">
        <v>24</v>
      </c>
      <c r="E6" s="10" t="s">
        <v>24</v>
      </c>
      <c r="F6" s="10" t="s">
        <v>24</v>
      </c>
      <c r="G6" s="17"/>
      <c r="H6" s="17"/>
      <c r="I6" s="17"/>
    </row>
    <row r="7" spans="1:9" x14ac:dyDescent="0.2">
      <c r="A7" s="8">
        <v>0.56112268518518515</v>
      </c>
      <c r="B7" s="6">
        <v>4.3125</v>
      </c>
      <c r="C7" s="10">
        <v>791</v>
      </c>
      <c r="D7" s="10" t="s">
        <v>24</v>
      </c>
      <c r="E7" s="10" t="s">
        <v>24</v>
      </c>
      <c r="F7" s="10" t="s">
        <v>24</v>
      </c>
      <c r="G7" s="17"/>
      <c r="H7" s="17"/>
      <c r="I7" s="17"/>
    </row>
    <row r="8" spans="1:9" x14ac:dyDescent="0.2">
      <c r="A8" s="8">
        <v>0.5611342592592593</v>
      </c>
      <c r="B8" s="6">
        <v>4.8125</v>
      </c>
      <c r="C8" s="10">
        <v>789</v>
      </c>
      <c r="D8" s="10" t="s">
        <v>24</v>
      </c>
      <c r="E8" s="10" t="s">
        <v>24</v>
      </c>
      <c r="F8" s="10" t="s">
        <v>24</v>
      </c>
      <c r="G8" s="17"/>
      <c r="H8" s="17"/>
      <c r="I8" s="17"/>
    </row>
    <row r="9" spans="1:9" x14ac:dyDescent="0.2">
      <c r="A9" s="8">
        <v>0.5611342592592593</v>
      </c>
      <c r="B9" s="6">
        <v>5.3125</v>
      </c>
      <c r="C9" s="10">
        <v>790</v>
      </c>
      <c r="D9" s="10" t="s">
        <v>24</v>
      </c>
      <c r="E9" s="10" t="s">
        <v>24</v>
      </c>
      <c r="F9" s="10" t="s">
        <v>24</v>
      </c>
      <c r="G9" s="17"/>
      <c r="H9" s="17"/>
      <c r="I9" s="17"/>
    </row>
    <row r="10" spans="1:9" x14ac:dyDescent="0.2">
      <c r="A10" s="8">
        <v>0.56114583333333334</v>
      </c>
      <c r="B10" s="6">
        <v>5.84375</v>
      </c>
      <c r="C10" s="10">
        <v>790</v>
      </c>
      <c r="D10" s="10" t="s">
        <v>28</v>
      </c>
      <c r="E10" s="9">
        <v>0.66</v>
      </c>
      <c r="F10" s="10" t="s">
        <v>17</v>
      </c>
      <c r="G10" s="17"/>
      <c r="H10" s="17"/>
      <c r="I10" s="17"/>
    </row>
    <row r="11" spans="1:9" x14ac:dyDescent="0.2">
      <c r="A11" s="8">
        <v>0.56115740740740738</v>
      </c>
      <c r="B11" s="6">
        <v>6.3554690000000003</v>
      </c>
      <c r="C11" s="10">
        <v>788</v>
      </c>
      <c r="D11" s="10" t="s">
        <v>24</v>
      </c>
      <c r="E11" s="10" t="s">
        <v>24</v>
      </c>
      <c r="F11" s="10" t="s">
        <v>24</v>
      </c>
      <c r="G11" s="17"/>
      <c r="H11" s="17"/>
      <c r="I11" s="17"/>
    </row>
    <row r="12" spans="1:9" x14ac:dyDescent="0.2">
      <c r="A12" s="8">
        <v>0.56115740740740738</v>
      </c>
      <c r="B12" s="6">
        <v>6.8554690000000003</v>
      </c>
      <c r="C12" s="10">
        <v>789</v>
      </c>
      <c r="D12" s="10" t="s">
        <v>24</v>
      </c>
      <c r="E12" s="10" t="s">
        <v>24</v>
      </c>
      <c r="F12" s="10" t="s">
        <v>24</v>
      </c>
      <c r="G12" s="17"/>
      <c r="H12" s="17"/>
      <c r="I12" s="17"/>
    </row>
    <row r="13" spans="1:9" x14ac:dyDescent="0.2">
      <c r="A13" s="8">
        <v>0.56116898148148153</v>
      </c>
      <c r="B13" s="6">
        <v>7.3554690000000003</v>
      </c>
      <c r="C13" s="10">
        <v>792</v>
      </c>
      <c r="D13" s="10" t="s">
        <v>24</v>
      </c>
      <c r="E13" s="10" t="s">
        <v>24</v>
      </c>
      <c r="F13" s="10" t="s">
        <v>24</v>
      </c>
      <c r="G13" s="17"/>
      <c r="H13" s="17"/>
      <c r="I13" s="17"/>
    </row>
    <row r="14" spans="1:9" x14ac:dyDescent="0.2">
      <c r="A14" s="8">
        <v>0.56116898148148153</v>
      </c>
      <c r="B14" s="6">
        <v>7.8554690000000003</v>
      </c>
      <c r="C14" s="10">
        <v>788</v>
      </c>
      <c r="D14" s="10" t="s">
        <v>24</v>
      </c>
      <c r="E14" s="10" t="s">
        <v>24</v>
      </c>
      <c r="F14" s="10" t="s">
        <v>24</v>
      </c>
      <c r="G14" s="17"/>
      <c r="H14" s="17"/>
      <c r="I14" s="17"/>
    </row>
    <row r="15" spans="1:9" x14ac:dyDescent="0.2">
      <c r="A15" s="8">
        <v>0.56118055555555557</v>
      </c>
      <c r="B15" s="6">
        <v>8.3710939999999994</v>
      </c>
      <c r="C15" s="10">
        <v>792</v>
      </c>
      <c r="D15" s="10" t="s">
        <v>28</v>
      </c>
      <c r="E15" s="9">
        <v>0.66</v>
      </c>
      <c r="F15" s="10" t="s">
        <v>17</v>
      </c>
      <c r="G15" s="17"/>
      <c r="H15" s="17"/>
      <c r="I15" s="17"/>
    </row>
    <row r="16" spans="1:9" x14ac:dyDescent="0.2">
      <c r="A16" s="8">
        <v>0.56118055555555557</v>
      </c>
      <c r="B16" s="6">
        <v>8.9023439999999994</v>
      </c>
      <c r="C16" s="10">
        <v>792</v>
      </c>
      <c r="D16" s="10" t="s">
        <v>24</v>
      </c>
      <c r="E16" s="10" t="s">
        <v>24</v>
      </c>
      <c r="F16" s="10" t="s">
        <v>24</v>
      </c>
      <c r="G16" s="17"/>
      <c r="H16" s="17"/>
      <c r="I16" s="17"/>
    </row>
    <row r="17" spans="1:9" x14ac:dyDescent="0.2">
      <c r="A17" s="8">
        <v>0.56119212962962961</v>
      </c>
      <c r="B17" s="6">
        <v>9.4023439999999994</v>
      </c>
      <c r="C17" s="10">
        <v>790</v>
      </c>
      <c r="D17" s="10" t="s">
        <v>24</v>
      </c>
      <c r="E17" s="10" t="s">
        <v>24</v>
      </c>
      <c r="F17" s="10" t="s">
        <v>24</v>
      </c>
      <c r="G17" s="17"/>
      <c r="H17" s="17"/>
      <c r="I17" s="17"/>
    </row>
    <row r="18" spans="1:9" x14ac:dyDescent="0.2">
      <c r="A18" s="8">
        <v>0.56119212962962961</v>
      </c>
      <c r="B18" s="6">
        <v>9.9023439999999994</v>
      </c>
      <c r="C18" s="10">
        <v>788</v>
      </c>
      <c r="D18" s="10" t="s">
        <v>24</v>
      </c>
      <c r="E18" s="10" t="s">
        <v>24</v>
      </c>
      <c r="F18" s="10" t="s">
        <v>24</v>
      </c>
      <c r="G18" s="17"/>
      <c r="H18" s="17"/>
      <c r="I18" s="17"/>
    </row>
    <row r="19" spans="1:9" x14ac:dyDescent="0.2">
      <c r="A19" s="8">
        <v>0.56120370370370365</v>
      </c>
      <c r="B19" s="6">
        <v>10.402340000000001</v>
      </c>
      <c r="C19" s="10">
        <v>789</v>
      </c>
      <c r="D19" s="10" t="s">
        <v>24</v>
      </c>
      <c r="E19" s="10" t="s">
        <v>24</v>
      </c>
      <c r="F19" s="10" t="s">
        <v>24</v>
      </c>
      <c r="G19" s="17"/>
      <c r="H19" s="17"/>
      <c r="I19" s="17"/>
    </row>
    <row r="20" spans="1:9" x14ac:dyDescent="0.2">
      <c r="A20" s="8">
        <v>0.56120370370370365</v>
      </c>
      <c r="B20" s="6">
        <v>10.91797</v>
      </c>
      <c r="C20" s="10">
        <v>790</v>
      </c>
      <c r="D20" s="10" t="s">
        <v>28</v>
      </c>
      <c r="E20" s="9">
        <v>0.66</v>
      </c>
      <c r="F20" s="10" t="s">
        <v>17</v>
      </c>
      <c r="G20" s="17"/>
      <c r="H20" s="17"/>
      <c r="I20" s="17"/>
    </row>
    <row r="21" spans="1:9" x14ac:dyDescent="0.2">
      <c r="A21" s="8">
        <v>0.5612152777777778</v>
      </c>
      <c r="B21" s="6">
        <v>11.44922</v>
      </c>
      <c r="C21" s="10">
        <v>792</v>
      </c>
      <c r="D21" s="10" t="s">
        <v>24</v>
      </c>
      <c r="E21" s="10" t="s">
        <v>24</v>
      </c>
      <c r="F21" s="10" t="s">
        <v>24</v>
      </c>
      <c r="G21" s="17"/>
      <c r="H21" s="17"/>
      <c r="I21" s="17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20FAB-86A4-4A59-9CA0-49D96976EAAA}">
  <dimension ref="A1:I22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26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0.56343750000000004</v>
      </c>
      <c r="B2" s="6">
        <v>1.796875</v>
      </c>
      <c r="C2" s="10">
        <v>752</v>
      </c>
      <c r="D2" s="10" t="s">
        <v>25</v>
      </c>
      <c r="E2" s="10" t="s">
        <v>25</v>
      </c>
      <c r="F2" s="10" t="s">
        <v>25</v>
      </c>
      <c r="G2" s="17"/>
      <c r="H2" s="17">
        <f>AVERAGE(C2:C21)</f>
        <v>756.45</v>
      </c>
      <c r="I2" s="17">
        <f>91*(1023-H2)/H2</f>
        <v>32.065635534404116</v>
      </c>
    </row>
    <row r="3" spans="1:9" x14ac:dyDescent="0.2">
      <c r="A3" s="8">
        <v>0.56344907407407407</v>
      </c>
      <c r="B3" s="6">
        <v>2.265625</v>
      </c>
      <c r="C3" s="10">
        <v>751</v>
      </c>
      <c r="D3" s="10" t="s">
        <v>25</v>
      </c>
      <c r="E3" s="10" t="s">
        <v>25</v>
      </c>
      <c r="F3" s="10" t="s">
        <v>25</v>
      </c>
      <c r="G3" s="17"/>
      <c r="H3" s="17"/>
      <c r="I3" s="17"/>
    </row>
    <row r="4" spans="1:9" x14ac:dyDescent="0.2">
      <c r="A4" s="8">
        <v>0.56344907407407407</v>
      </c>
      <c r="B4" s="6">
        <v>2.78125</v>
      </c>
      <c r="C4" s="10">
        <v>754</v>
      </c>
      <c r="D4" s="10" t="s">
        <v>25</v>
      </c>
      <c r="E4" s="10" t="s">
        <v>25</v>
      </c>
      <c r="F4" s="10" t="s">
        <v>25</v>
      </c>
      <c r="G4" s="17"/>
      <c r="H4" s="17"/>
      <c r="I4" s="17"/>
    </row>
    <row r="5" spans="1:9" x14ac:dyDescent="0.2">
      <c r="A5" s="8">
        <v>0.56346064814814811</v>
      </c>
      <c r="B5" s="6">
        <v>3.296875</v>
      </c>
      <c r="C5" s="10">
        <v>753</v>
      </c>
      <c r="D5" s="10" t="s">
        <v>29</v>
      </c>
      <c r="E5" s="9">
        <v>0.66</v>
      </c>
      <c r="F5" s="10" t="s">
        <v>17</v>
      </c>
      <c r="G5" s="17"/>
      <c r="H5" s="17"/>
      <c r="I5" s="17"/>
    </row>
    <row r="6" spans="1:9" x14ac:dyDescent="0.2">
      <c r="A6" s="8">
        <v>0.56346064814814811</v>
      </c>
      <c r="B6" s="6">
        <v>3.8125</v>
      </c>
      <c r="C6" s="10">
        <v>755</v>
      </c>
      <c r="D6" s="10" t="s">
        <v>25</v>
      </c>
      <c r="E6" s="10" t="s">
        <v>25</v>
      </c>
      <c r="F6" s="10" t="s">
        <v>24</v>
      </c>
      <c r="G6" s="17"/>
      <c r="H6" s="17"/>
      <c r="I6" s="17"/>
    </row>
    <row r="7" spans="1:9" x14ac:dyDescent="0.2">
      <c r="A7" s="8">
        <v>0.56347222222222226</v>
      </c>
      <c r="B7" s="6">
        <v>4.3085940000000003</v>
      </c>
      <c r="C7" s="10">
        <v>752</v>
      </c>
      <c r="D7" s="10" t="s">
        <v>25</v>
      </c>
      <c r="E7" s="10" t="s">
        <v>25</v>
      </c>
      <c r="F7" s="10" t="s">
        <v>24</v>
      </c>
      <c r="G7" s="17"/>
      <c r="H7" s="17"/>
      <c r="I7" s="17"/>
    </row>
    <row r="8" spans="1:9" x14ac:dyDescent="0.2">
      <c r="A8" s="8">
        <v>0.56347222222222226</v>
      </c>
      <c r="B8" s="6">
        <v>4.8085940000000003</v>
      </c>
      <c r="C8" s="10">
        <v>757</v>
      </c>
      <c r="D8" s="10" t="s">
        <v>25</v>
      </c>
      <c r="E8" s="9" t="s">
        <v>24</v>
      </c>
      <c r="F8" s="10" t="s">
        <v>25</v>
      </c>
      <c r="G8" s="17"/>
      <c r="H8" s="17"/>
      <c r="I8" s="17"/>
    </row>
    <row r="9" spans="1:9" x14ac:dyDescent="0.2">
      <c r="A9" s="8">
        <v>0.5634837962962963</v>
      </c>
      <c r="B9" s="6">
        <v>5.3085940000000003</v>
      </c>
      <c r="C9" s="10">
        <v>754</v>
      </c>
      <c r="D9" s="10" t="s">
        <v>25</v>
      </c>
      <c r="E9" s="10" t="s">
        <v>25</v>
      </c>
      <c r="F9" s="10" t="s">
        <v>25</v>
      </c>
      <c r="G9" s="17"/>
      <c r="H9" s="17"/>
      <c r="I9" s="17"/>
    </row>
    <row r="10" spans="1:9" x14ac:dyDescent="0.2">
      <c r="A10" s="8">
        <v>0.56349537037037034</v>
      </c>
      <c r="B10" s="6">
        <v>5.8398440000000003</v>
      </c>
      <c r="C10" s="10">
        <v>754</v>
      </c>
      <c r="D10" s="10" t="s">
        <v>29</v>
      </c>
      <c r="E10" s="9">
        <v>0.67</v>
      </c>
      <c r="F10" s="10" t="s">
        <v>30</v>
      </c>
      <c r="G10" s="17"/>
      <c r="H10" s="17"/>
      <c r="I10" s="17"/>
    </row>
    <row r="11" spans="1:9" x14ac:dyDescent="0.2">
      <c r="A11" s="8">
        <v>0.56349537037037034</v>
      </c>
      <c r="B11" s="6">
        <v>6.3554690000000003</v>
      </c>
      <c r="C11" s="10">
        <v>755</v>
      </c>
      <c r="D11" s="10" t="s">
        <v>25</v>
      </c>
      <c r="E11" s="10" t="s">
        <v>25</v>
      </c>
      <c r="F11" s="10" t="s">
        <v>25</v>
      </c>
      <c r="G11" s="17"/>
      <c r="H11" s="17"/>
      <c r="I11" s="17"/>
    </row>
    <row r="12" spans="1:9" x14ac:dyDescent="0.2">
      <c r="A12" s="8">
        <v>0.56350694444444449</v>
      </c>
      <c r="B12" s="6">
        <v>6.8554690000000003</v>
      </c>
      <c r="C12" s="10">
        <v>758</v>
      </c>
      <c r="D12" s="10" t="s">
        <v>25</v>
      </c>
      <c r="E12" s="10" t="s">
        <v>25</v>
      </c>
      <c r="F12" s="10" t="s">
        <v>25</v>
      </c>
      <c r="G12" s="17"/>
      <c r="H12" s="17"/>
      <c r="I12" s="17"/>
    </row>
    <row r="13" spans="1:9" x14ac:dyDescent="0.2">
      <c r="A13" s="8">
        <v>0.56350694444444449</v>
      </c>
      <c r="B13" s="6">
        <v>7.3554690000000003</v>
      </c>
      <c r="C13" s="10">
        <v>757</v>
      </c>
      <c r="D13" s="10" t="s">
        <v>25</v>
      </c>
      <c r="E13" s="9" t="s">
        <v>24</v>
      </c>
      <c r="F13" s="10" t="s">
        <v>25</v>
      </c>
      <c r="G13" s="17"/>
      <c r="H13" s="17"/>
      <c r="I13" s="17"/>
    </row>
    <row r="14" spans="1:9" x14ac:dyDescent="0.2">
      <c r="A14" s="8">
        <v>0.56351851851851853</v>
      </c>
      <c r="B14" s="6">
        <v>7.8554690000000003</v>
      </c>
      <c r="C14" s="10">
        <v>756</v>
      </c>
      <c r="D14" s="10" t="s">
        <v>25</v>
      </c>
      <c r="E14" s="10" t="s">
        <v>25</v>
      </c>
      <c r="F14" s="10" t="s">
        <v>25</v>
      </c>
      <c r="G14" s="17"/>
      <c r="H14" s="17"/>
      <c r="I14" s="17"/>
    </row>
    <row r="15" spans="1:9" x14ac:dyDescent="0.2">
      <c r="A15" s="8">
        <v>0.56353009259259257</v>
      </c>
      <c r="B15" s="6">
        <v>8.890625</v>
      </c>
      <c r="C15" s="10">
        <v>760</v>
      </c>
      <c r="D15" s="10" t="s">
        <v>31</v>
      </c>
      <c r="E15" s="10" t="s">
        <v>31</v>
      </c>
      <c r="F15" s="10">
        <v>-237</v>
      </c>
      <c r="G15" s="17"/>
      <c r="H15" s="17"/>
      <c r="I15" s="17"/>
    </row>
    <row r="16" spans="1:9" x14ac:dyDescent="0.2">
      <c r="A16" s="8">
        <v>0.56353009259259257</v>
      </c>
      <c r="B16" s="6">
        <v>9.40625</v>
      </c>
      <c r="C16" s="10">
        <v>761</v>
      </c>
      <c r="D16" s="10" t="s">
        <v>31</v>
      </c>
      <c r="E16" s="10" t="s">
        <v>31</v>
      </c>
      <c r="F16" s="10">
        <v>4112</v>
      </c>
      <c r="G16" s="17"/>
      <c r="H16" s="17"/>
      <c r="I16" s="17"/>
    </row>
    <row r="17" spans="1:9" x14ac:dyDescent="0.2">
      <c r="A17" s="8">
        <v>0.56354166666666672</v>
      </c>
      <c r="B17" s="6">
        <v>9.9375</v>
      </c>
      <c r="C17" s="10">
        <v>759</v>
      </c>
      <c r="D17" s="10" t="s">
        <v>29</v>
      </c>
      <c r="E17" s="9">
        <v>0.67</v>
      </c>
      <c r="F17" s="10" t="s">
        <v>30</v>
      </c>
      <c r="G17" s="17"/>
      <c r="H17" s="17"/>
      <c r="I17" s="17"/>
    </row>
    <row r="18" spans="1:9" x14ac:dyDescent="0.2">
      <c r="A18" s="8">
        <v>0.56354166666666672</v>
      </c>
      <c r="B18" s="6">
        <v>10.46875</v>
      </c>
      <c r="C18" s="10">
        <v>761</v>
      </c>
      <c r="D18" s="10" t="s">
        <v>24</v>
      </c>
      <c r="E18" s="10" t="s">
        <v>24</v>
      </c>
      <c r="F18" s="10" t="s">
        <v>24</v>
      </c>
      <c r="G18" s="17"/>
      <c r="H18" s="17"/>
      <c r="I18" s="17"/>
    </row>
    <row r="19" spans="1:9" x14ac:dyDescent="0.2">
      <c r="A19" s="8">
        <v>0.56355324074074076</v>
      </c>
      <c r="B19" s="6">
        <v>10.96875</v>
      </c>
      <c r="C19" s="10">
        <v>759</v>
      </c>
      <c r="D19" s="10" t="s">
        <v>24</v>
      </c>
      <c r="E19" s="10" t="s">
        <v>24</v>
      </c>
      <c r="F19" s="10" t="s">
        <v>24</v>
      </c>
      <c r="G19" s="17"/>
      <c r="H19" s="17"/>
      <c r="I19" s="17"/>
    </row>
    <row r="20" spans="1:9" x14ac:dyDescent="0.2">
      <c r="A20" s="8">
        <v>0.56355324074074076</v>
      </c>
      <c r="B20" s="6">
        <v>11.46875</v>
      </c>
      <c r="C20" s="10">
        <v>762</v>
      </c>
      <c r="D20" s="10" t="s">
        <v>24</v>
      </c>
      <c r="E20" s="10" t="s">
        <v>24</v>
      </c>
      <c r="F20" s="10" t="s">
        <v>24</v>
      </c>
      <c r="G20" s="17"/>
      <c r="H20" s="17"/>
      <c r="I20" s="17"/>
    </row>
    <row r="21" spans="1:9" x14ac:dyDescent="0.2">
      <c r="A21" s="8">
        <v>0.5635648148148148</v>
      </c>
      <c r="B21" s="6">
        <v>11.964840000000001</v>
      </c>
      <c r="C21" s="10">
        <v>759</v>
      </c>
      <c r="D21" s="10" t="s">
        <v>24</v>
      </c>
      <c r="E21" s="10" t="s">
        <v>24</v>
      </c>
      <c r="F21" s="10" t="s">
        <v>24</v>
      </c>
      <c r="G21" s="17"/>
      <c r="H21" s="17"/>
      <c r="I21" s="17"/>
    </row>
    <row r="22" spans="1:9" x14ac:dyDescent="0.2">
      <c r="A22" s="8">
        <v>0.5635648148148148</v>
      </c>
      <c r="B22" s="6">
        <v>12.496090000000001</v>
      </c>
      <c r="C22" s="4">
        <v>762</v>
      </c>
      <c r="D22" s="4" t="s">
        <v>28</v>
      </c>
      <c r="E22" s="9">
        <v>0.67</v>
      </c>
      <c r="F22" s="4" t="s">
        <v>17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4521-AFF3-45CE-98CD-537EBBB75637}">
  <dimension ref="A1:I24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3" width="18.42578125" style="4" customWidth="1"/>
    <col min="4" max="6" width="9.140625" style="4"/>
  </cols>
  <sheetData>
    <row r="1" spans="1:9" x14ac:dyDescent="0.2">
      <c r="A1" s="5" t="s">
        <v>19</v>
      </c>
      <c r="B1" s="7" t="s">
        <v>20</v>
      </c>
      <c r="C1" s="5" t="s">
        <v>26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0.56563657407407408</v>
      </c>
      <c r="B2" s="6">
        <v>1.796875</v>
      </c>
      <c r="C2" s="10">
        <v>761</v>
      </c>
      <c r="D2" s="10" t="s">
        <v>24</v>
      </c>
      <c r="E2" s="10" t="s">
        <v>24</v>
      </c>
      <c r="F2" s="10" t="s">
        <v>24</v>
      </c>
      <c r="G2" s="17"/>
      <c r="H2" s="17">
        <f>AVERAGE(C2:C21)</f>
        <v>764.85</v>
      </c>
      <c r="I2" s="17">
        <f>91*(1023-H2)/H2</f>
        <v>30.714061580702094</v>
      </c>
    </row>
    <row r="3" spans="1:9" x14ac:dyDescent="0.2">
      <c r="A3" s="8">
        <v>0.56564814814814812</v>
      </c>
      <c r="B3" s="6">
        <v>2.265625</v>
      </c>
      <c r="C3" s="10">
        <v>763</v>
      </c>
      <c r="D3" s="10" t="s">
        <v>24</v>
      </c>
      <c r="E3" s="10" t="s">
        <v>24</v>
      </c>
      <c r="F3" s="10" t="s">
        <v>24</v>
      </c>
      <c r="G3" s="17"/>
      <c r="H3" s="17"/>
      <c r="I3" s="17"/>
    </row>
    <row r="4" spans="1:9" x14ac:dyDescent="0.2">
      <c r="A4" s="8">
        <v>0.56564814814814812</v>
      </c>
      <c r="B4" s="6">
        <v>2.765625</v>
      </c>
      <c r="C4" s="10">
        <v>760</v>
      </c>
      <c r="D4" s="10" t="s">
        <v>24</v>
      </c>
      <c r="E4" s="10" t="s">
        <v>24</v>
      </c>
      <c r="F4" s="10" t="s">
        <v>24</v>
      </c>
      <c r="G4" s="17"/>
      <c r="H4" s="17"/>
      <c r="I4" s="17"/>
    </row>
    <row r="5" spans="1:9" x14ac:dyDescent="0.2">
      <c r="A5" s="8">
        <v>0.56565972222222227</v>
      </c>
      <c r="B5" s="6">
        <v>3.296875</v>
      </c>
      <c r="C5" s="10">
        <v>764</v>
      </c>
      <c r="D5" s="10" t="s">
        <v>28</v>
      </c>
      <c r="E5" s="9">
        <v>0.66</v>
      </c>
      <c r="F5" s="10" t="s">
        <v>17</v>
      </c>
      <c r="G5" s="17"/>
      <c r="H5" s="17"/>
      <c r="I5" s="17"/>
    </row>
    <row r="6" spans="1:9" x14ac:dyDescent="0.2">
      <c r="A6" s="8">
        <v>0.56565972222222227</v>
      </c>
      <c r="B6" s="6">
        <v>3.8125</v>
      </c>
      <c r="C6" s="10">
        <v>764</v>
      </c>
      <c r="D6" s="10" t="s">
        <v>24</v>
      </c>
      <c r="E6" s="10" t="s">
        <v>24</v>
      </c>
      <c r="F6" s="10" t="s">
        <v>24</v>
      </c>
      <c r="G6" s="17"/>
      <c r="H6" s="17"/>
      <c r="I6" s="17"/>
    </row>
    <row r="7" spans="1:9" x14ac:dyDescent="0.2">
      <c r="A7" s="8">
        <v>0.56567129629629631</v>
      </c>
      <c r="B7" s="6">
        <v>4.3125</v>
      </c>
      <c r="C7" s="10">
        <v>761</v>
      </c>
      <c r="D7" s="10" t="s">
        <v>24</v>
      </c>
      <c r="E7" s="10" t="s">
        <v>24</v>
      </c>
      <c r="F7" s="10" t="s">
        <v>24</v>
      </c>
      <c r="G7" s="17"/>
      <c r="H7" s="17"/>
      <c r="I7" s="17"/>
    </row>
    <row r="8" spans="1:9" x14ac:dyDescent="0.2">
      <c r="A8" s="8">
        <v>0.56567129629629631</v>
      </c>
      <c r="B8" s="6">
        <v>4.8125</v>
      </c>
      <c r="C8" s="10">
        <v>763</v>
      </c>
      <c r="D8" s="10" t="s">
        <v>24</v>
      </c>
      <c r="E8" s="10" t="s">
        <v>24</v>
      </c>
      <c r="F8" s="10" t="s">
        <v>24</v>
      </c>
      <c r="G8" s="17"/>
      <c r="H8" s="17"/>
      <c r="I8" s="17"/>
    </row>
    <row r="9" spans="1:9" x14ac:dyDescent="0.2">
      <c r="A9" s="8">
        <v>0.56568287037037035</v>
      </c>
      <c r="B9" s="6">
        <v>5.3125</v>
      </c>
      <c r="C9" s="10">
        <v>764</v>
      </c>
      <c r="D9" s="10" t="s">
        <v>24</v>
      </c>
      <c r="E9" s="10" t="s">
        <v>24</v>
      </c>
      <c r="F9" s="10" t="s">
        <v>24</v>
      </c>
      <c r="G9" s="17"/>
      <c r="H9" s="17"/>
      <c r="I9" s="17"/>
    </row>
    <row r="10" spans="1:9" x14ac:dyDescent="0.2">
      <c r="A10" s="8">
        <v>0.56568287037037035</v>
      </c>
      <c r="B10" s="6">
        <v>5.84375</v>
      </c>
      <c r="C10" s="10">
        <v>765</v>
      </c>
      <c r="D10" s="10" t="s">
        <v>28</v>
      </c>
      <c r="E10" s="9">
        <v>0.66</v>
      </c>
      <c r="F10" s="10" t="s">
        <v>17</v>
      </c>
      <c r="G10" s="17"/>
      <c r="H10" s="17"/>
      <c r="I10" s="17"/>
    </row>
    <row r="11" spans="1:9" x14ac:dyDescent="0.2">
      <c r="A11" s="8">
        <v>0.5656944444444445</v>
      </c>
      <c r="B11" s="6">
        <v>6.359375</v>
      </c>
      <c r="C11" s="10">
        <v>766</v>
      </c>
      <c r="D11" s="10" t="s">
        <v>24</v>
      </c>
      <c r="E11" s="10" t="s">
        <v>24</v>
      </c>
      <c r="F11" s="10" t="s">
        <v>24</v>
      </c>
      <c r="G11" s="17"/>
      <c r="H11" s="17"/>
      <c r="I11" s="17"/>
    </row>
    <row r="12" spans="1:9" x14ac:dyDescent="0.2">
      <c r="A12" s="8">
        <v>0.5656944444444445</v>
      </c>
      <c r="B12" s="6">
        <v>6.859375</v>
      </c>
      <c r="C12" s="10">
        <v>766</v>
      </c>
      <c r="D12" s="10" t="s">
        <v>24</v>
      </c>
      <c r="E12" s="10" t="s">
        <v>24</v>
      </c>
      <c r="F12" s="10" t="s">
        <v>24</v>
      </c>
      <c r="G12" s="17"/>
      <c r="H12" s="17"/>
      <c r="I12" s="17"/>
    </row>
    <row r="13" spans="1:9" x14ac:dyDescent="0.2">
      <c r="A13" s="8">
        <v>0.56570601851851854</v>
      </c>
      <c r="B13" s="6">
        <v>7.359375</v>
      </c>
      <c r="C13" s="10">
        <v>765</v>
      </c>
      <c r="D13" s="10" t="s">
        <v>24</v>
      </c>
      <c r="E13" s="10" t="s">
        <v>24</v>
      </c>
      <c r="F13" s="10" t="s">
        <v>24</v>
      </c>
      <c r="G13" s="17"/>
      <c r="H13" s="17"/>
      <c r="I13" s="17"/>
    </row>
    <row r="14" spans="1:9" x14ac:dyDescent="0.2">
      <c r="A14" s="8">
        <v>0.56570601851851854</v>
      </c>
      <c r="B14" s="6">
        <v>7.859375</v>
      </c>
      <c r="C14" s="10">
        <v>763</v>
      </c>
      <c r="D14" s="10" t="s">
        <v>24</v>
      </c>
      <c r="E14" s="10" t="s">
        <v>24</v>
      </c>
      <c r="F14" s="10" t="s">
        <v>24</v>
      </c>
      <c r="G14" s="17"/>
      <c r="H14" s="17"/>
      <c r="I14" s="17"/>
    </row>
    <row r="15" spans="1:9" x14ac:dyDescent="0.2">
      <c r="A15" s="8">
        <v>0.56571759259259258</v>
      </c>
      <c r="B15" s="6">
        <v>8.375</v>
      </c>
      <c r="C15" s="10">
        <v>767</v>
      </c>
      <c r="D15" s="10" t="s">
        <v>28</v>
      </c>
      <c r="E15" s="9">
        <v>0.66</v>
      </c>
      <c r="F15" s="10" t="s">
        <v>17</v>
      </c>
      <c r="G15" s="17"/>
      <c r="H15" s="17"/>
      <c r="I15" s="17"/>
    </row>
    <row r="16" spans="1:9" x14ac:dyDescent="0.2">
      <c r="A16" s="8">
        <v>0.56571759259259258</v>
      </c>
      <c r="B16" s="6">
        <v>8.890625</v>
      </c>
      <c r="C16" s="10">
        <v>766</v>
      </c>
      <c r="D16" s="10" t="s">
        <v>24</v>
      </c>
      <c r="E16" s="10" t="s">
        <v>24</v>
      </c>
      <c r="F16" s="10" t="s">
        <v>24</v>
      </c>
      <c r="G16" s="17"/>
      <c r="H16" s="17"/>
      <c r="I16" s="17"/>
    </row>
    <row r="17" spans="1:9" x14ac:dyDescent="0.2">
      <c r="A17" s="8">
        <v>0.56572916666666662</v>
      </c>
      <c r="B17" s="6">
        <v>9.40625</v>
      </c>
      <c r="C17" s="10">
        <v>767</v>
      </c>
      <c r="D17" s="10" t="s">
        <v>24</v>
      </c>
      <c r="E17" s="10" t="s">
        <v>24</v>
      </c>
      <c r="F17" s="10" t="s">
        <v>24</v>
      </c>
      <c r="G17" s="17"/>
      <c r="H17" s="17"/>
      <c r="I17" s="17"/>
    </row>
    <row r="18" spans="1:9" x14ac:dyDescent="0.2">
      <c r="A18" s="8">
        <v>0.56572916666666662</v>
      </c>
      <c r="B18" s="6">
        <v>9.90625</v>
      </c>
      <c r="C18" s="10">
        <v>769</v>
      </c>
      <c r="D18" s="10" t="s">
        <v>24</v>
      </c>
      <c r="E18" s="10" t="s">
        <v>24</v>
      </c>
      <c r="F18" s="10" t="s">
        <v>24</v>
      </c>
      <c r="G18" s="17"/>
      <c r="H18" s="17"/>
      <c r="I18" s="17"/>
    </row>
    <row r="19" spans="1:9" x14ac:dyDescent="0.2">
      <c r="A19" s="8">
        <v>0.56574074074074077</v>
      </c>
      <c r="B19" s="6">
        <v>10.40625</v>
      </c>
      <c r="C19" s="10">
        <v>767</v>
      </c>
      <c r="D19" s="10" t="s">
        <v>24</v>
      </c>
      <c r="E19" s="10" t="s">
        <v>24</v>
      </c>
      <c r="F19" s="10" t="s">
        <v>24</v>
      </c>
      <c r="G19" s="17"/>
      <c r="H19" s="17"/>
      <c r="I19" s="17"/>
    </row>
    <row r="20" spans="1:9" x14ac:dyDescent="0.2">
      <c r="A20" s="8">
        <v>0.56574074074074077</v>
      </c>
      <c r="B20" s="6">
        <v>10.92188</v>
      </c>
      <c r="C20" s="10">
        <v>766</v>
      </c>
      <c r="D20" s="10" t="s">
        <v>28</v>
      </c>
      <c r="E20" s="9">
        <v>0.65</v>
      </c>
      <c r="F20" s="10" t="s">
        <v>17</v>
      </c>
      <c r="G20" s="17"/>
      <c r="H20" s="17"/>
      <c r="I20" s="17"/>
    </row>
    <row r="21" spans="1:9" x14ac:dyDescent="0.2">
      <c r="A21" s="8">
        <v>0.56575231481481481</v>
      </c>
      <c r="B21" s="6">
        <v>11.4375</v>
      </c>
      <c r="C21" s="10">
        <v>770</v>
      </c>
      <c r="D21" s="10" t="s">
        <v>24</v>
      </c>
      <c r="E21" s="10" t="s">
        <v>24</v>
      </c>
      <c r="F21" s="10" t="s">
        <v>24</v>
      </c>
      <c r="G21" s="17"/>
      <c r="H21" s="17"/>
      <c r="I21" s="17"/>
    </row>
    <row r="22" spans="1:9" x14ac:dyDescent="0.2">
      <c r="A22" s="8"/>
      <c r="B22" s="8"/>
      <c r="C22" s="10"/>
      <c r="D22" s="10"/>
      <c r="E22" s="10"/>
      <c r="F22" s="10"/>
    </row>
    <row r="23" spans="1:9" x14ac:dyDescent="0.2">
      <c r="A23" s="8"/>
      <c r="B23" s="8"/>
      <c r="C23" s="10"/>
      <c r="D23" s="10"/>
      <c r="E23" s="10"/>
      <c r="F23" s="10"/>
    </row>
    <row r="24" spans="1:9" x14ac:dyDescent="0.2">
      <c r="A24" s="8"/>
      <c r="B24" s="8"/>
      <c r="C24" s="10"/>
      <c r="D24" s="10"/>
      <c r="E24" s="10"/>
      <c r="F24" s="10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0</v>
      </c>
      <c r="E6" s="13"/>
      <c r="F6" s="14"/>
    </row>
    <row r="7" spans="2:13" ht="12.75" customHeight="1" x14ac:dyDescent="0.2">
      <c r="B7" s="1" t="s">
        <v>6</v>
      </c>
      <c r="C7" s="2" t="b">
        <v>0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27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689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溫度</vt:lpstr>
      <vt:lpstr>A2</vt:lpstr>
      <vt:lpstr>A3</vt:lpstr>
      <vt:lpstr>A4</vt:lpstr>
      <vt:lpstr>B2</vt:lpstr>
      <vt:lpstr>B3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2026-09-14T05:54:42Z</dcterms:modified>
</cp:coreProperties>
</file>