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21\"/>
    </mc:Choice>
  </mc:AlternateContent>
  <xr:revisionPtr revIDLastSave="0" documentId="13_ncr:1_{A877A76E-E1D5-422E-862B-94A28CB22F5B}" xr6:coauthVersionLast="47" xr6:coauthVersionMax="47" xr10:uidLastSave="{00000000-0000-0000-0000-000000000000}"/>
  <bookViews>
    <workbookView xWindow="-120" yWindow="-120" windowWidth="20730" windowHeight="11160" tabRatio="795" activeTab="3" xr2:uid="{00000000-000D-0000-FFFF-FFFF00000000}"/>
  </bookViews>
  <sheets>
    <sheet name="溫度" sheetId="36" r:id="rId1"/>
    <sheet name="標準" sheetId="56" r:id="rId2"/>
    <sheet name="小30" sheetId="43" r:id="rId3"/>
    <sheet name="小40" sheetId="45" r:id="rId4"/>
    <sheet name="小50" sheetId="46" r:id="rId5"/>
    <sheet name="小60" sheetId="47" r:id="rId6"/>
    <sheet name="小70" sheetId="48" r:id="rId7"/>
    <sheet name="小80" sheetId="49" r:id="rId8"/>
    <sheet name="A2" sheetId="50" r:id="rId9"/>
    <sheet name="B2" sheetId="51" r:id="rId10"/>
    <sheet name="A3" sheetId="52" r:id="rId11"/>
    <sheet name="B3" sheetId="53" r:id="rId12"/>
    <sheet name="A4" sheetId="54" r:id="rId13"/>
    <sheet name="B4" sheetId="55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56" l="1"/>
  <c r="H3" i="56" s="1"/>
  <c r="H2" i="52"/>
  <c r="H3" i="52" s="1"/>
  <c r="H2" i="55"/>
  <c r="H3" i="55" s="1"/>
  <c r="H2" i="54"/>
  <c r="H3" i="54" s="1"/>
  <c r="H2" i="53"/>
  <c r="H3" i="53" s="1"/>
  <c r="H2" i="51"/>
  <c r="H3" i="51" s="1"/>
  <c r="H2" i="50"/>
  <c r="H3" i="50" s="1"/>
  <c r="H2" i="49"/>
  <c r="H3" i="49" s="1"/>
  <c r="H2" i="48"/>
  <c r="H3" i="48" s="1"/>
  <c r="H2" i="47"/>
  <c r="H3" i="47" s="1"/>
  <c r="H2" i="46"/>
  <c r="H3" i="46" s="1"/>
  <c r="H2" i="45"/>
  <c r="H3" i="45" s="1"/>
  <c r="H2" i="43"/>
  <c r="H3" i="43" s="1"/>
</calcChain>
</file>

<file path=xl/sharedStrings.xml><?xml version="1.0" encoding="utf-8"?>
<sst xmlns="http://schemas.openxmlformats.org/spreadsheetml/2006/main" count="809" uniqueCount="39">
  <si>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</si>
  <si>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</si>
  <si>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</si>
  <si>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</si>
  <si>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</si>
  <si>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</si>
  <si>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</si>
  <si>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</si>
  <si>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</si>
  <si>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</si>
  <si>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</si>
  <si>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</si>
  <si>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</si>
  <si>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</si>
  <si>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</si>
  <si>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</si>
  <si>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</si>
  <si>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</si>
  <si>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Timer</t>
  </si>
  <si>
    <t>A0</t>
  </si>
  <si>
    <t>T</t>
  </si>
  <si>
    <t>H</t>
  </si>
  <si>
    <t>Error Code</t>
  </si>
  <si>
    <t>None</t>
  </si>
  <si>
    <t>28.00 C</t>
  </si>
  <si>
    <t>NULL</t>
  </si>
  <si>
    <t>Error</t>
  </si>
  <si>
    <t>29.00 C</t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</si>
  <si>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</si>
  <si>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</si>
  <si>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</si>
  <si>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</si>
  <si>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</si>
  <si>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</si>
  <si>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</si>
  <si>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28.00 C</t>
    <phoneticPr fontId="4" type="noConversion"/>
  </si>
  <si>
    <t>NULL</t>
    <phoneticPr fontId="4" type="noConversion"/>
  </si>
  <si>
    <t>小40</t>
    <phoneticPr fontId="4" type="noConversion"/>
  </si>
  <si>
    <t>Error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</si>
</sst>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30"/>
  <sheetViews>
    <sheetView workbookViewId="0">
      <selection activeCell="H15" sqref="H15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/>
      <c r="B1" s="7"/>
      <c r="C1" s="5"/>
      <c r="D1" s="5"/>
      <c r="E1" s="5"/>
      <c r="F1" s="5"/>
    </row>
    <row r="2" spans="1:6" x14ac:dyDescent="0.2">
      <c r="A2" s="8"/>
      <c r="C2" s="10"/>
      <c r="D2" s="10"/>
      <c r="E2" s="10"/>
      <c r="F2" s="10"/>
    </row>
    <row r="3" spans="1:6" x14ac:dyDescent="0.2">
      <c r="A3" s="8"/>
      <c r="C3" s="10"/>
      <c r="D3" s="10"/>
      <c r="E3" s="10"/>
      <c r="F3" s="10"/>
    </row>
    <row r="4" spans="1:6" x14ac:dyDescent="0.2">
      <c r="A4" s="8"/>
      <c r="C4" s="10"/>
      <c r="D4" s="10"/>
      <c r="E4" s="10"/>
      <c r="F4" s="10"/>
    </row>
    <row r="5" spans="1:6" x14ac:dyDescent="0.2">
      <c r="A5" s="8"/>
      <c r="C5" s="10"/>
      <c r="D5" s="10"/>
      <c r="E5" s="10"/>
      <c r="F5" s="10"/>
    </row>
    <row r="6" spans="1:6" x14ac:dyDescent="0.2">
      <c r="A6" s="8"/>
      <c r="C6" s="10"/>
      <c r="D6" s="10"/>
      <c r="E6" s="10"/>
      <c r="F6" s="10"/>
    </row>
    <row r="7" spans="1:6" x14ac:dyDescent="0.2">
      <c r="A7" s="8"/>
      <c r="C7" s="10"/>
      <c r="D7" s="10"/>
      <c r="E7" s="10"/>
      <c r="F7" s="10"/>
    </row>
    <row r="8" spans="1:6" x14ac:dyDescent="0.2">
      <c r="A8" s="8"/>
      <c r="C8" s="10"/>
      <c r="D8" s="10"/>
      <c r="E8" s="9"/>
      <c r="F8" s="10"/>
    </row>
    <row r="9" spans="1:6" x14ac:dyDescent="0.2">
      <c r="A9" s="8"/>
      <c r="C9" s="10"/>
      <c r="D9" s="10"/>
      <c r="E9" s="10"/>
      <c r="F9" s="10"/>
    </row>
    <row r="10" spans="1:6" x14ac:dyDescent="0.2">
      <c r="A10" s="8"/>
      <c r="C10" s="10"/>
      <c r="D10" s="10"/>
      <c r="E10" s="10"/>
      <c r="F10" s="10"/>
    </row>
    <row r="11" spans="1:6" x14ac:dyDescent="0.2">
      <c r="A11" s="8"/>
      <c r="C11" s="10"/>
      <c r="D11" s="10"/>
      <c r="E11" s="10"/>
      <c r="F11" s="10"/>
    </row>
    <row r="12" spans="1:6" x14ac:dyDescent="0.2">
      <c r="A12" s="8"/>
      <c r="C12" s="10"/>
      <c r="D12" s="10"/>
      <c r="E12" s="10"/>
      <c r="F12" s="10"/>
    </row>
    <row r="13" spans="1:6" x14ac:dyDescent="0.2">
      <c r="A13" s="8"/>
      <c r="C13" s="10"/>
      <c r="D13" s="10"/>
      <c r="E13" s="9"/>
      <c r="F13" s="10"/>
    </row>
    <row r="14" spans="1:6" x14ac:dyDescent="0.2">
      <c r="A14" s="8"/>
      <c r="C14" s="10"/>
      <c r="D14" s="10"/>
      <c r="E14" s="10"/>
      <c r="F14" s="10"/>
    </row>
    <row r="15" spans="1:6" x14ac:dyDescent="0.2">
      <c r="A15" s="8"/>
      <c r="C15" s="10"/>
      <c r="D15" s="10"/>
      <c r="E15" s="10"/>
      <c r="F15" s="10"/>
    </row>
    <row r="16" spans="1:6" x14ac:dyDescent="0.2">
      <c r="A16" s="8"/>
      <c r="C16" s="10"/>
      <c r="D16" s="10"/>
      <c r="E16" s="10"/>
      <c r="F16" s="10"/>
    </row>
    <row r="17" spans="1:6" x14ac:dyDescent="0.2">
      <c r="A17" s="8"/>
      <c r="C17" s="10"/>
      <c r="D17" s="10"/>
      <c r="E17" s="10"/>
      <c r="F17" s="10"/>
    </row>
    <row r="18" spans="1:6" x14ac:dyDescent="0.2">
      <c r="A18" s="8"/>
      <c r="C18" s="10"/>
      <c r="D18" s="10"/>
      <c r="E18" s="9"/>
      <c r="F18" s="10"/>
    </row>
    <row r="19" spans="1:6" x14ac:dyDescent="0.2">
      <c r="A19" s="8"/>
      <c r="C19" s="10"/>
      <c r="D19" s="10"/>
      <c r="E19" s="10"/>
      <c r="F19" s="10"/>
    </row>
    <row r="20" spans="1:6" x14ac:dyDescent="0.2">
      <c r="A20" s="8"/>
      <c r="C20" s="10"/>
      <c r="D20" s="10"/>
      <c r="E20" s="10"/>
      <c r="F20" s="10"/>
    </row>
    <row r="21" spans="1:6" x14ac:dyDescent="0.2">
      <c r="A21" s="8"/>
      <c r="C21" s="10"/>
      <c r="D21" s="10"/>
      <c r="E21" s="10"/>
      <c r="F21" s="10"/>
    </row>
    <row r="22" spans="1:6" x14ac:dyDescent="0.2">
      <c r="A22" s="10"/>
      <c r="C22" s="10"/>
      <c r="D22" s="10"/>
      <c r="E22" s="10"/>
      <c r="F22" s="10"/>
    </row>
    <row r="23" spans="1:6" x14ac:dyDescent="0.2">
      <c r="A23" s="10"/>
      <c r="C23" s="10"/>
      <c r="D23" s="10"/>
      <c r="E23" s="10"/>
      <c r="F23" s="10"/>
    </row>
    <row r="24" spans="1:6" x14ac:dyDescent="0.2">
      <c r="A24" s="10"/>
      <c r="C24" s="10"/>
      <c r="D24" s="10"/>
      <c r="E24" s="10"/>
      <c r="F24" s="10"/>
    </row>
    <row r="25" spans="1:6" x14ac:dyDescent="0.2">
      <c r="A25" s="10"/>
      <c r="C25" s="10"/>
      <c r="D25" s="10"/>
      <c r="E25" s="10"/>
      <c r="F25" s="10"/>
    </row>
    <row r="26" spans="1:6" x14ac:dyDescent="0.2">
      <c r="A26" s="10"/>
      <c r="C26" s="10"/>
      <c r="D26" s="10"/>
      <c r="E26" s="10"/>
      <c r="F26" s="10"/>
    </row>
    <row r="27" spans="1:6" x14ac:dyDescent="0.2">
      <c r="A27" s="10"/>
      <c r="C27" s="10"/>
      <c r="D27" s="10"/>
      <c r="E27" s="10"/>
      <c r="F27" s="10"/>
    </row>
    <row r="28" spans="1:6" x14ac:dyDescent="0.2">
      <c r="A28" s="10"/>
      <c r="C28" s="10"/>
      <c r="D28" s="10"/>
      <c r="E28" s="10"/>
      <c r="F28" s="10"/>
    </row>
    <row r="29" spans="1:6" x14ac:dyDescent="0.2">
      <c r="A29" s="10"/>
      <c r="C29" s="10"/>
      <c r="D29" s="10"/>
      <c r="E29" s="10"/>
      <c r="F29" s="10"/>
    </row>
    <row r="30" spans="1:6" x14ac:dyDescent="0.2">
      <c r="A30" s="10"/>
      <c r="C30" s="10"/>
      <c r="D30" s="10"/>
      <c r="E30" s="10"/>
      <c r="F30" s="10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4053-14CC-4D17-BFF1-8AAA60ECD26C}">
  <dimension ref="A1:H21"/>
  <sheetViews>
    <sheetView workbookViewId="0">
      <selection activeCell="H6" sqref="H6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0.61067129629629635</v>
      </c>
      <c r="B2" s="6">
        <v>1.800781</v>
      </c>
      <c r="C2" s="4">
        <v>863</v>
      </c>
      <c r="D2" s="4" t="s">
        <v>23</v>
      </c>
      <c r="E2" s="4" t="s">
        <v>23</v>
      </c>
      <c r="F2" s="4" t="s">
        <v>23</v>
      </c>
      <c r="H2">
        <f>AVERAGE(C2:C21)</f>
        <v>828.85</v>
      </c>
    </row>
    <row r="3" spans="1:8" x14ac:dyDescent="0.2">
      <c r="A3" s="8">
        <v>0.61067129629629635</v>
      </c>
      <c r="B3" s="6">
        <v>2.2695310000000002</v>
      </c>
      <c r="C3" s="4">
        <v>865</v>
      </c>
      <c r="D3" s="4" t="s">
        <v>23</v>
      </c>
      <c r="E3" s="4" t="s">
        <v>23</v>
      </c>
      <c r="F3" s="4" t="s">
        <v>23</v>
      </c>
      <c r="H3">
        <f>91*(1023-H2)/H2</f>
        <v>21.315859323158591</v>
      </c>
    </row>
    <row r="4" spans="1:8" x14ac:dyDescent="0.2">
      <c r="A4" s="8">
        <v>0.61068287037037039</v>
      </c>
      <c r="B4" s="6">
        <v>2.7695310000000002</v>
      </c>
      <c r="C4" s="4">
        <v>855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0.61069444444444443</v>
      </c>
      <c r="B5" s="6">
        <v>3.3007810000000002</v>
      </c>
      <c r="C5" s="4">
        <v>847</v>
      </c>
      <c r="D5" s="4" t="s">
        <v>24</v>
      </c>
      <c r="E5" s="9">
        <v>0.53</v>
      </c>
      <c r="F5" s="4" t="s">
        <v>25</v>
      </c>
    </row>
    <row r="6" spans="1:8" x14ac:dyDescent="0.2">
      <c r="A6" s="8">
        <v>0.61069444444444443</v>
      </c>
      <c r="B6" s="6">
        <v>3.8125</v>
      </c>
      <c r="C6" s="4">
        <v>842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0.61070601851851847</v>
      </c>
      <c r="B7" s="6">
        <v>4.3125</v>
      </c>
      <c r="C7" s="4">
        <v>840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0.61070601851851847</v>
      </c>
      <c r="B8" s="6">
        <v>4.8125</v>
      </c>
      <c r="C8" s="4">
        <v>835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0.61071759259259262</v>
      </c>
      <c r="B9" s="6">
        <v>5.3125</v>
      </c>
      <c r="C9" s="4">
        <v>832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0.61071759259259262</v>
      </c>
      <c r="B10" s="6">
        <v>5.84375</v>
      </c>
      <c r="C10" s="4">
        <v>828</v>
      </c>
      <c r="D10" s="4" t="s">
        <v>24</v>
      </c>
      <c r="E10" s="9">
        <v>0.53</v>
      </c>
      <c r="F10" s="4" t="s">
        <v>25</v>
      </c>
    </row>
    <row r="11" spans="1:8" x14ac:dyDescent="0.2">
      <c r="A11" s="8">
        <v>0.61072916666666666</v>
      </c>
      <c r="B11" s="6">
        <v>6.359375</v>
      </c>
      <c r="C11" s="4">
        <v>826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0.61072916666666666</v>
      </c>
      <c r="B12" s="6">
        <v>6.859375</v>
      </c>
      <c r="C12" s="4">
        <v>824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0.6107407407407407</v>
      </c>
      <c r="B13" s="6">
        <v>7.359375</v>
      </c>
      <c r="C13" s="4">
        <v>820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0.6107407407407407</v>
      </c>
      <c r="B14" s="6">
        <v>7.859375</v>
      </c>
      <c r="C14" s="4">
        <v>817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0.61075231481481485</v>
      </c>
      <c r="B15" s="6">
        <v>8.375</v>
      </c>
      <c r="C15" s="4">
        <v>816</v>
      </c>
      <c r="D15" s="4" t="s">
        <v>24</v>
      </c>
      <c r="E15" s="9">
        <v>0.53</v>
      </c>
      <c r="F15" s="4" t="s">
        <v>25</v>
      </c>
    </row>
    <row r="16" spans="1:8" x14ac:dyDescent="0.2">
      <c r="A16" s="8">
        <v>0.61075231481481485</v>
      </c>
      <c r="B16" s="6">
        <v>8.890625</v>
      </c>
      <c r="C16" s="4">
        <v>813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0.61076388888888888</v>
      </c>
      <c r="B17" s="6">
        <v>9.390625</v>
      </c>
      <c r="C17" s="4">
        <v>812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0.61076388888888888</v>
      </c>
      <c r="B18" s="6">
        <v>9.90625</v>
      </c>
      <c r="C18" s="4">
        <v>811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0.61077546296296292</v>
      </c>
      <c r="B19" s="6">
        <v>10.40625</v>
      </c>
      <c r="C19" s="4">
        <v>811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0.61077546296296292</v>
      </c>
      <c r="B20" s="6">
        <v>10.92188</v>
      </c>
      <c r="C20" s="4">
        <v>810</v>
      </c>
      <c r="D20" s="4" t="s">
        <v>24</v>
      </c>
      <c r="E20" s="9">
        <v>0.53</v>
      </c>
      <c r="F20" s="4" t="s">
        <v>25</v>
      </c>
    </row>
    <row r="21" spans="1:6" x14ac:dyDescent="0.2">
      <c r="A21" s="8">
        <v>0.61078703703703707</v>
      </c>
      <c r="B21" s="6">
        <v>11.4375</v>
      </c>
      <c r="C21" s="4">
        <v>810</v>
      </c>
      <c r="D21" s="4" t="s">
        <v>23</v>
      </c>
      <c r="E21" s="4" t="s">
        <v>23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6E50-17B2-4AF9-8866-95D7BCCAFD97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28</v>
      </c>
      <c r="B1" s="7" t="s">
        <v>29</v>
      </c>
      <c r="C1" s="5" t="s">
        <v>30</v>
      </c>
      <c r="D1" s="5" t="s">
        <v>31</v>
      </c>
      <c r="E1" s="5" t="s">
        <v>32</v>
      </c>
      <c r="F1" s="5" t="s">
        <v>33</v>
      </c>
    </row>
    <row r="2" spans="1:8" x14ac:dyDescent="0.2">
      <c r="A2" s="8">
        <v>0.61627314814814815</v>
      </c>
      <c r="B2" s="6">
        <v>1.796875</v>
      </c>
      <c r="C2" s="4">
        <v>824</v>
      </c>
      <c r="D2" s="4" t="s">
        <v>34</v>
      </c>
      <c r="E2" s="4" t="s">
        <v>34</v>
      </c>
      <c r="F2" s="4" t="s">
        <v>34</v>
      </c>
      <c r="H2">
        <f>AVERAGE(C2:C21)</f>
        <v>812.6</v>
      </c>
    </row>
    <row r="3" spans="1:8" x14ac:dyDescent="0.2">
      <c r="A3" s="8">
        <v>0.61627314814814815</v>
      </c>
      <c r="B3" s="6">
        <v>2.265625</v>
      </c>
      <c r="C3" s="4">
        <v>817</v>
      </c>
      <c r="D3" s="4" t="s">
        <v>34</v>
      </c>
      <c r="E3" s="4" t="s">
        <v>34</v>
      </c>
      <c r="F3" s="4" t="s">
        <v>34</v>
      </c>
      <c r="H3">
        <f>91*(1023-H2)/H2</f>
        <v>23.561900073837062</v>
      </c>
    </row>
    <row r="4" spans="1:8" x14ac:dyDescent="0.2">
      <c r="A4" s="8">
        <v>0.61628472222222219</v>
      </c>
      <c r="B4" s="6">
        <v>2.765625</v>
      </c>
      <c r="C4" s="4">
        <v>818</v>
      </c>
      <c r="D4" s="4" t="s">
        <v>34</v>
      </c>
      <c r="E4" s="4" t="s">
        <v>34</v>
      </c>
      <c r="F4" s="4" t="s">
        <v>34</v>
      </c>
    </row>
    <row r="5" spans="1:8" x14ac:dyDescent="0.2">
      <c r="A5" s="8">
        <v>0.61628472222222219</v>
      </c>
      <c r="B5" s="6">
        <v>3.28125</v>
      </c>
      <c r="C5" s="4">
        <v>812</v>
      </c>
      <c r="D5" s="4" t="s">
        <v>35</v>
      </c>
      <c r="E5" s="9">
        <v>0.52</v>
      </c>
      <c r="F5" s="4" t="s">
        <v>36</v>
      </c>
    </row>
    <row r="6" spans="1:8" x14ac:dyDescent="0.2">
      <c r="A6" s="8">
        <v>0.61629629629629634</v>
      </c>
      <c r="B6" s="6">
        <v>3.8125</v>
      </c>
      <c r="C6" s="4">
        <v>807</v>
      </c>
      <c r="D6" s="4" t="s">
        <v>34</v>
      </c>
      <c r="E6" s="4" t="s">
        <v>34</v>
      </c>
      <c r="F6" s="4" t="s">
        <v>34</v>
      </c>
    </row>
    <row r="7" spans="1:8" x14ac:dyDescent="0.2">
      <c r="A7" s="8">
        <v>0.61629629629629634</v>
      </c>
      <c r="B7" s="6">
        <v>4.3125</v>
      </c>
      <c r="C7" s="4">
        <v>811</v>
      </c>
      <c r="D7" s="4" t="s">
        <v>34</v>
      </c>
      <c r="E7" s="4" t="s">
        <v>34</v>
      </c>
      <c r="F7" s="4" t="s">
        <v>34</v>
      </c>
    </row>
    <row r="8" spans="1:8" x14ac:dyDescent="0.2">
      <c r="A8" s="8">
        <v>0.61630787037037038</v>
      </c>
      <c r="B8" s="6">
        <v>4.8125</v>
      </c>
      <c r="C8" s="4">
        <v>808</v>
      </c>
      <c r="D8" s="4" t="s">
        <v>34</v>
      </c>
      <c r="E8" s="4" t="s">
        <v>34</v>
      </c>
      <c r="F8" s="4" t="s">
        <v>34</v>
      </c>
    </row>
    <row r="9" spans="1:8" x14ac:dyDescent="0.2">
      <c r="A9" s="8">
        <v>0.61630787037037038</v>
      </c>
      <c r="B9" s="6">
        <v>5.296875</v>
      </c>
      <c r="C9" s="4">
        <v>812</v>
      </c>
      <c r="D9" s="4" t="s">
        <v>34</v>
      </c>
      <c r="E9" s="4" t="s">
        <v>34</v>
      </c>
      <c r="F9" s="4" t="s">
        <v>34</v>
      </c>
    </row>
    <row r="10" spans="1:8" x14ac:dyDescent="0.2">
      <c r="A10" s="8">
        <v>0.61631944444444442</v>
      </c>
      <c r="B10" s="6">
        <v>5.828125</v>
      </c>
      <c r="C10" s="4">
        <v>809</v>
      </c>
      <c r="D10" s="4" t="s">
        <v>35</v>
      </c>
      <c r="E10" s="9">
        <v>0.53</v>
      </c>
      <c r="F10" s="4" t="s">
        <v>36</v>
      </c>
    </row>
    <row r="11" spans="1:8" x14ac:dyDescent="0.2">
      <c r="A11" s="8">
        <v>0.61631944444444442</v>
      </c>
      <c r="B11" s="6">
        <v>6.34375</v>
      </c>
      <c r="C11" s="4">
        <v>812</v>
      </c>
      <c r="D11" s="4" t="s">
        <v>34</v>
      </c>
      <c r="E11" s="4" t="s">
        <v>34</v>
      </c>
      <c r="F11" s="4" t="s">
        <v>34</v>
      </c>
    </row>
    <row r="12" spans="1:8" x14ac:dyDescent="0.2">
      <c r="A12" s="8">
        <v>0.61633101851851857</v>
      </c>
      <c r="B12" s="6">
        <v>6.84375</v>
      </c>
      <c r="C12" s="4">
        <v>815</v>
      </c>
      <c r="D12" s="4" t="s">
        <v>34</v>
      </c>
      <c r="E12" s="4" t="s">
        <v>34</v>
      </c>
      <c r="F12" s="4" t="s">
        <v>34</v>
      </c>
    </row>
    <row r="13" spans="1:8" x14ac:dyDescent="0.2">
      <c r="A13" s="8">
        <v>0.61633101851851857</v>
      </c>
      <c r="B13" s="6">
        <v>7.34375</v>
      </c>
      <c r="C13" s="4">
        <v>801</v>
      </c>
      <c r="D13" s="4" t="s">
        <v>34</v>
      </c>
      <c r="E13" s="4" t="s">
        <v>34</v>
      </c>
      <c r="F13" s="4" t="s">
        <v>34</v>
      </c>
    </row>
    <row r="14" spans="1:8" x14ac:dyDescent="0.2">
      <c r="A14" s="8">
        <v>0.61634259259259261</v>
      </c>
      <c r="B14" s="6">
        <v>7.84375</v>
      </c>
      <c r="C14" s="4">
        <v>803</v>
      </c>
      <c r="D14" s="4" t="s">
        <v>34</v>
      </c>
      <c r="E14" s="4" t="s">
        <v>34</v>
      </c>
      <c r="F14" s="4" t="s">
        <v>34</v>
      </c>
    </row>
    <row r="15" spans="1:8" x14ac:dyDescent="0.2">
      <c r="A15" s="8">
        <v>0.61634259259259261</v>
      </c>
      <c r="B15" s="6">
        <v>8.375</v>
      </c>
      <c r="C15" s="4">
        <v>817</v>
      </c>
      <c r="D15" s="4" t="s">
        <v>35</v>
      </c>
      <c r="E15" s="9">
        <v>0.53</v>
      </c>
      <c r="F15" s="4" t="s">
        <v>25</v>
      </c>
    </row>
    <row r="16" spans="1:8" x14ac:dyDescent="0.2">
      <c r="A16" s="8">
        <v>0.61635416666666665</v>
      </c>
      <c r="B16" s="6">
        <v>8.890625</v>
      </c>
      <c r="C16" s="4">
        <v>819</v>
      </c>
      <c r="D16" s="4" t="s">
        <v>34</v>
      </c>
      <c r="E16" s="4" t="s">
        <v>34</v>
      </c>
      <c r="F16" s="4" t="s">
        <v>23</v>
      </c>
    </row>
    <row r="17" spans="1:6" x14ac:dyDescent="0.2">
      <c r="A17" s="8">
        <v>0.61635416666666665</v>
      </c>
      <c r="B17" s="6">
        <v>9.390625</v>
      </c>
      <c r="C17" s="4">
        <v>812</v>
      </c>
      <c r="D17" s="4" t="s">
        <v>34</v>
      </c>
      <c r="E17" s="4" t="s">
        <v>34</v>
      </c>
      <c r="F17" s="4" t="s">
        <v>23</v>
      </c>
    </row>
    <row r="18" spans="1:6" x14ac:dyDescent="0.2">
      <c r="A18" s="8">
        <v>0.61636574074074069</v>
      </c>
      <c r="B18" s="6">
        <v>9.890625</v>
      </c>
      <c r="C18" s="4">
        <v>810</v>
      </c>
      <c r="D18" s="4" t="s">
        <v>34</v>
      </c>
      <c r="E18" s="9" t="s">
        <v>23</v>
      </c>
      <c r="F18" s="4" t="s">
        <v>34</v>
      </c>
    </row>
    <row r="19" spans="1:6" x14ac:dyDescent="0.2">
      <c r="A19" s="8">
        <v>0.61636574074074069</v>
      </c>
      <c r="B19" s="6">
        <v>10.39063</v>
      </c>
      <c r="C19" s="4">
        <v>806</v>
      </c>
      <c r="D19" s="4" t="s">
        <v>34</v>
      </c>
      <c r="E19" s="4" t="s">
        <v>34</v>
      </c>
      <c r="F19" s="4" t="s">
        <v>34</v>
      </c>
    </row>
    <row r="20" spans="1:6" x14ac:dyDescent="0.2">
      <c r="A20" s="8">
        <v>0.61637731481481484</v>
      </c>
      <c r="B20" s="6">
        <v>10.92188</v>
      </c>
      <c r="C20" s="4">
        <v>823</v>
      </c>
      <c r="D20" s="4" t="s">
        <v>35</v>
      </c>
      <c r="E20" s="9">
        <v>0.53</v>
      </c>
      <c r="F20" s="4" t="s">
        <v>36</v>
      </c>
    </row>
    <row r="21" spans="1:6" x14ac:dyDescent="0.2">
      <c r="A21" s="8">
        <v>0.61637731481481484</v>
      </c>
      <c r="B21" s="6">
        <v>11.4375</v>
      </c>
      <c r="C21" s="4">
        <v>816</v>
      </c>
      <c r="D21" s="4" t="s">
        <v>34</v>
      </c>
      <c r="E21" s="4" t="s">
        <v>34</v>
      </c>
      <c r="F21" s="4" t="s">
        <v>34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EB91-2876-4D59-8021-D844F67046D8}">
  <dimension ref="A1:H21"/>
  <sheetViews>
    <sheetView tabSelected="1" workbookViewId="0">
      <selection activeCell="G15" sqref="G15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28</v>
      </c>
      <c r="B1" s="7" t="s">
        <v>29</v>
      </c>
      <c r="C1" s="5" t="s">
        <v>30</v>
      </c>
      <c r="D1" s="5" t="s">
        <v>31</v>
      </c>
      <c r="E1" s="5" t="s">
        <v>32</v>
      </c>
      <c r="F1" s="5" t="s">
        <v>33</v>
      </c>
    </row>
    <row r="2" spans="1:8" x14ac:dyDescent="0.2">
      <c r="A2" s="8">
        <v>0.62005787037037041</v>
      </c>
      <c r="B2" s="6">
        <v>1.796875</v>
      </c>
      <c r="C2" s="4">
        <v>819</v>
      </c>
      <c r="D2" s="4" t="s">
        <v>34</v>
      </c>
      <c r="E2" s="4" t="s">
        <v>34</v>
      </c>
      <c r="F2" s="4" t="s">
        <v>34</v>
      </c>
      <c r="H2">
        <f>AVERAGE(C2:C21)</f>
        <v>810.9</v>
      </c>
    </row>
    <row r="3" spans="1:8" x14ac:dyDescent="0.2">
      <c r="A3" s="8">
        <v>0.62006944444444445</v>
      </c>
      <c r="B3" s="6">
        <v>2.265625</v>
      </c>
      <c r="C3" s="4">
        <v>817</v>
      </c>
      <c r="D3" s="4" t="s">
        <v>34</v>
      </c>
      <c r="E3" s="4" t="s">
        <v>34</v>
      </c>
      <c r="F3" s="4" t="s">
        <v>34</v>
      </c>
      <c r="H3">
        <f>91*(1023-H2)/H2</f>
        <v>23.802071772105073</v>
      </c>
    </row>
    <row r="4" spans="1:8" x14ac:dyDescent="0.2">
      <c r="A4" s="8">
        <v>0.62006944444444445</v>
      </c>
      <c r="B4" s="6">
        <v>2.765625</v>
      </c>
      <c r="C4" s="4">
        <v>817</v>
      </c>
      <c r="D4" s="4" t="s">
        <v>34</v>
      </c>
      <c r="E4" s="4" t="s">
        <v>34</v>
      </c>
      <c r="F4" s="4" t="s">
        <v>34</v>
      </c>
    </row>
    <row r="5" spans="1:8" x14ac:dyDescent="0.2">
      <c r="A5" s="8">
        <v>0.62008101851851849</v>
      </c>
      <c r="B5" s="6">
        <v>3.28125</v>
      </c>
      <c r="C5" s="4">
        <v>815</v>
      </c>
      <c r="D5" s="4" t="s">
        <v>35</v>
      </c>
      <c r="E5" s="9">
        <v>0.54</v>
      </c>
      <c r="F5" s="4" t="s">
        <v>36</v>
      </c>
    </row>
    <row r="6" spans="1:8" x14ac:dyDescent="0.2">
      <c r="A6" s="8">
        <v>0.62008101851851849</v>
      </c>
      <c r="B6" s="6">
        <v>3.796875</v>
      </c>
      <c r="C6" s="4">
        <v>815</v>
      </c>
      <c r="D6" s="4" t="s">
        <v>34</v>
      </c>
      <c r="E6" s="4" t="s">
        <v>34</v>
      </c>
      <c r="F6" s="4" t="s">
        <v>34</v>
      </c>
    </row>
    <row r="7" spans="1:8" x14ac:dyDescent="0.2">
      <c r="A7" s="8">
        <v>0.62009259259259264</v>
      </c>
      <c r="B7" s="6">
        <v>4.3125</v>
      </c>
      <c r="C7" s="4">
        <v>814</v>
      </c>
      <c r="D7" s="4" t="s">
        <v>34</v>
      </c>
      <c r="E7" s="4" t="s">
        <v>34</v>
      </c>
      <c r="F7" s="4" t="s">
        <v>34</v>
      </c>
    </row>
    <row r="8" spans="1:8" x14ac:dyDescent="0.2">
      <c r="A8" s="8">
        <v>0.62009259259259264</v>
      </c>
      <c r="B8" s="6">
        <v>4.8125</v>
      </c>
      <c r="C8" s="4">
        <v>812</v>
      </c>
      <c r="D8" s="4" t="s">
        <v>34</v>
      </c>
      <c r="E8" s="4" t="s">
        <v>34</v>
      </c>
      <c r="F8" s="4" t="s">
        <v>34</v>
      </c>
    </row>
    <row r="9" spans="1:8" x14ac:dyDescent="0.2">
      <c r="A9" s="8">
        <v>0.62010416666666668</v>
      </c>
      <c r="B9" s="6">
        <v>5.3125</v>
      </c>
      <c r="C9" s="4">
        <v>810</v>
      </c>
      <c r="D9" s="4" t="s">
        <v>34</v>
      </c>
      <c r="E9" s="4" t="s">
        <v>34</v>
      </c>
      <c r="F9" s="4" t="s">
        <v>34</v>
      </c>
    </row>
    <row r="10" spans="1:8" x14ac:dyDescent="0.2">
      <c r="A10" s="8">
        <v>0.62011574074074072</v>
      </c>
      <c r="B10" s="6">
        <v>6.328125</v>
      </c>
      <c r="C10" s="4">
        <v>809</v>
      </c>
      <c r="D10" s="4" t="s">
        <v>38</v>
      </c>
      <c r="E10" s="9" t="s">
        <v>26</v>
      </c>
      <c r="F10" s="4">
        <v>-237</v>
      </c>
    </row>
    <row r="11" spans="1:8" x14ac:dyDescent="0.2">
      <c r="A11" s="8">
        <v>0.62011574074074072</v>
      </c>
      <c r="B11" s="6">
        <v>6.8554690000000003</v>
      </c>
      <c r="C11" s="4">
        <v>808</v>
      </c>
      <c r="D11" s="4" t="s">
        <v>38</v>
      </c>
      <c r="E11" s="4" t="s">
        <v>38</v>
      </c>
      <c r="F11" s="4">
        <v>4112</v>
      </c>
    </row>
    <row r="12" spans="1:8" x14ac:dyDescent="0.2">
      <c r="A12" s="8">
        <v>0.62012731481481487</v>
      </c>
      <c r="B12" s="6">
        <v>7.3867190000000003</v>
      </c>
      <c r="C12" s="4">
        <v>810</v>
      </c>
      <c r="D12" s="4" t="s">
        <v>35</v>
      </c>
      <c r="E12" s="9">
        <v>0.54</v>
      </c>
      <c r="F12" s="4" t="s">
        <v>36</v>
      </c>
    </row>
    <row r="13" spans="1:8" x14ac:dyDescent="0.2">
      <c r="A13" s="8">
        <v>0.62012731481481487</v>
      </c>
      <c r="B13" s="6">
        <v>7.90625</v>
      </c>
      <c r="C13" s="4">
        <v>810</v>
      </c>
      <c r="D13" s="4" t="s">
        <v>34</v>
      </c>
      <c r="E13" s="4" t="s">
        <v>34</v>
      </c>
      <c r="F13" s="4" t="s">
        <v>34</v>
      </c>
    </row>
    <row r="14" spans="1:8" x14ac:dyDescent="0.2">
      <c r="A14" s="8">
        <v>0.62013888888888891</v>
      </c>
      <c r="B14" s="6">
        <v>8.40625</v>
      </c>
      <c r="C14" s="4">
        <v>809</v>
      </c>
      <c r="D14" s="4" t="s">
        <v>34</v>
      </c>
      <c r="E14" s="4" t="s">
        <v>34</v>
      </c>
      <c r="F14" s="4" t="s">
        <v>34</v>
      </c>
    </row>
    <row r="15" spans="1:8" x14ac:dyDescent="0.2">
      <c r="A15" s="8">
        <v>0.62013888888888891</v>
      </c>
      <c r="B15" s="6">
        <v>8.90625</v>
      </c>
      <c r="C15" s="4">
        <v>808</v>
      </c>
      <c r="D15" s="4" t="s">
        <v>34</v>
      </c>
      <c r="E15" s="9" t="s">
        <v>23</v>
      </c>
      <c r="F15" s="4" t="s">
        <v>34</v>
      </c>
    </row>
    <row r="16" spans="1:8" x14ac:dyDescent="0.2">
      <c r="A16" s="8">
        <v>0.62015046296296295</v>
      </c>
      <c r="B16" s="6">
        <v>9.40625</v>
      </c>
      <c r="C16" s="4">
        <v>808</v>
      </c>
      <c r="D16" s="4" t="s">
        <v>34</v>
      </c>
      <c r="E16" s="4" t="s">
        <v>34</v>
      </c>
      <c r="F16" s="4" t="s">
        <v>34</v>
      </c>
    </row>
    <row r="17" spans="1:6" x14ac:dyDescent="0.2">
      <c r="A17" s="8">
        <v>0.62015046296296295</v>
      </c>
      <c r="B17" s="6">
        <v>9.9335939999999994</v>
      </c>
      <c r="C17" s="4">
        <v>808</v>
      </c>
      <c r="D17" s="4" t="s">
        <v>35</v>
      </c>
      <c r="E17" s="9">
        <v>0.54</v>
      </c>
      <c r="F17" s="4" t="s">
        <v>36</v>
      </c>
    </row>
    <row r="18" spans="1:6" x14ac:dyDescent="0.2">
      <c r="A18" s="8">
        <v>0.62016203703703698</v>
      </c>
      <c r="B18" s="6">
        <v>10.44922</v>
      </c>
      <c r="C18" s="4">
        <v>807</v>
      </c>
      <c r="D18" s="4" t="s">
        <v>34</v>
      </c>
      <c r="E18" s="4" t="s">
        <v>34</v>
      </c>
      <c r="F18" s="4" t="s">
        <v>34</v>
      </c>
    </row>
    <row r="19" spans="1:6" x14ac:dyDescent="0.2">
      <c r="A19" s="8">
        <v>0.62017361111111113</v>
      </c>
      <c r="B19" s="6">
        <v>10.94922</v>
      </c>
      <c r="C19" s="4">
        <v>807</v>
      </c>
      <c r="D19" s="4" t="s">
        <v>34</v>
      </c>
      <c r="E19" s="4" t="s">
        <v>34</v>
      </c>
      <c r="F19" s="4" t="s">
        <v>34</v>
      </c>
    </row>
    <row r="20" spans="1:6" x14ac:dyDescent="0.2">
      <c r="A20" s="8">
        <v>0.62017361111111113</v>
      </c>
      <c r="B20" s="6">
        <v>11.44922</v>
      </c>
      <c r="C20" s="4">
        <v>807</v>
      </c>
      <c r="D20" s="4" t="s">
        <v>34</v>
      </c>
      <c r="E20" s="9" t="s">
        <v>34</v>
      </c>
      <c r="F20" s="4" t="s">
        <v>23</v>
      </c>
    </row>
    <row r="21" spans="1:6" x14ac:dyDescent="0.2">
      <c r="A21" s="8">
        <v>0.62018518518518517</v>
      </c>
      <c r="B21" s="6">
        <v>11.94922</v>
      </c>
      <c r="C21" s="4">
        <v>808</v>
      </c>
      <c r="D21" s="4" t="s">
        <v>34</v>
      </c>
      <c r="E21" s="4" t="s">
        <v>34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AD417-E107-4EA9-8871-86EC32077C95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0.58390046296296294</v>
      </c>
      <c r="B2" s="6">
        <v>1.8046880000000001</v>
      </c>
      <c r="C2" s="4">
        <v>802</v>
      </c>
      <c r="D2" s="4" t="s">
        <v>23</v>
      </c>
      <c r="E2" s="4" t="s">
        <v>23</v>
      </c>
      <c r="F2" s="4" t="s">
        <v>23</v>
      </c>
      <c r="H2">
        <f>AVERAGE(C2:C21)</f>
        <v>801.65</v>
      </c>
    </row>
    <row r="3" spans="1:8" x14ac:dyDescent="0.2">
      <c r="A3" s="8">
        <v>0.58390046296296294</v>
      </c>
      <c r="B3" s="6">
        <v>2.2695310000000002</v>
      </c>
      <c r="C3" s="4">
        <v>802</v>
      </c>
      <c r="D3" s="4" t="s">
        <v>23</v>
      </c>
      <c r="E3" s="4" t="s">
        <v>23</v>
      </c>
      <c r="F3" s="4" t="s">
        <v>23</v>
      </c>
      <c r="H3">
        <f>91*(1023-H2)/H2</f>
        <v>25.126738601634134</v>
      </c>
    </row>
    <row r="4" spans="1:8" x14ac:dyDescent="0.2">
      <c r="A4" s="8">
        <v>0.58391203703703709</v>
      </c>
      <c r="B4" s="6">
        <v>2.7734380000000001</v>
      </c>
      <c r="C4" s="4">
        <v>801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0.58392361111111113</v>
      </c>
      <c r="B5" s="6">
        <v>3.3007810000000002</v>
      </c>
      <c r="C5" s="4">
        <v>798</v>
      </c>
      <c r="D5" s="4" t="s">
        <v>27</v>
      </c>
      <c r="E5" s="9">
        <v>0.55000000000000004</v>
      </c>
      <c r="F5" s="4" t="s">
        <v>25</v>
      </c>
    </row>
    <row r="6" spans="1:8" x14ac:dyDescent="0.2">
      <c r="A6" s="8">
        <v>0.58392361111111113</v>
      </c>
      <c r="B6" s="6">
        <v>3.8125</v>
      </c>
      <c r="C6" s="4">
        <v>803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0.58393518518518517</v>
      </c>
      <c r="B7" s="6">
        <v>4.3125</v>
      </c>
      <c r="C7" s="4">
        <v>802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0.58393518518518517</v>
      </c>
      <c r="B8" s="6">
        <v>4.8125</v>
      </c>
      <c r="C8" s="4">
        <v>800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0.58394675925925921</v>
      </c>
      <c r="B9" s="6">
        <v>5.3164059999999997</v>
      </c>
      <c r="C9" s="4">
        <v>802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0.58394675925925921</v>
      </c>
      <c r="B10" s="6">
        <v>5.84375</v>
      </c>
      <c r="C10" s="4">
        <v>801</v>
      </c>
      <c r="D10" s="4" t="s">
        <v>27</v>
      </c>
      <c r="E10" s="9">
        <v>0.55000000000000004</v>
      </c>
      <c r="F10" s="4" t="s">
        <v>25</v>
      </c>
    </row>
    <row r="11" spans="1:8" x14ac:dyDescent="0.2">
      <c r="A11" s="8">
        <v>0.58395833333333336</v>
      </c>
      <c r="B11" s="6">
        <v>6.3632809999999997</v>
      </c>
      <c r="C11" s="4">
        <v>803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0.58395833333333336</v>
      </c>
      <c r="B12" s="6">
        <v>6.8632809999999997</v>
      </c>
      <c r="C12" s="4">
        <v>802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0.5839699074074074</v>
      </c>
      <c r="B13" s="6">
        <v>7.359375</v>
      </c>
      <c r="C13" s="4">
        <v>801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0.5839699074074074</v>
      </c>
      <c r="B14" s="6">
        <v>7.8554690000000003</v>
      </c>
      <c r="C14" s="4">
        <v>803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0.58398148148148143</v>
      </c>
      <c r="B15" s="6">
        <v>8.3789060000000006</v>
      </c>
      <c r="C15" s="4">
        <v>801</v>
      </c>
      <c r="D15" s="4" t="s">
        <v>27</v>
      </c>
      <c r="E15" s="9">
        <v>0.55000000000000004</v>
      </c>
      <c r="F15" s="4" t="s">
        <v>25</v>
      </c>
    </row>
    <row r="16" spans="1:8" x14ac:dyDescent="0.2">
      <c r="A16" s="8">
        <v>0.58398148148148143</v>
      </c>
      <c r="B16" s="6">
        <v>8.8945310000000006</v>
      </c>
      <c r="C16" s="4">
        <v>803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0.58399305555555558</v>
      </c>
      <c r="B17" s="6">
        <v>9.40625</v>
      </c>
      <c r="C17" s="4">
        <v>804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0.58399305555555558</v>
      </c>
      <c r="B18" s="6">
        <v>9.90625</v>
      </c>
      <c r="C18" s="4">
        <v>801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0.58400462962962962</v>
      </c>
      <c r="B19" s="6">
        <v>10.40625</v>
      </c>
      <c r="C19" s="4">
        <v>802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0.58400462962962962</v>
      </c>
      <c r="B20" s="6">
        <v>10.92578</v>
      </c>
      <c r="C20" s="4">
        <v>801</v>
      </c>
      <c r="D20" s="4" t="s">
        <v>27</v>
      </c>
      <c r="E20" s="9">
        <v>0.55000000000000004</v>
      </c>
      <c r="F20" s="4" t="s">
        <v>25</v>
      </c>
    </row>
    <row r="21" spans="1:6" x14ac:dyDescent="0.2">
      <c r="A21" s="8">
        <v>0.58401620370370366</v>
      </c>
      <c r="B21" s="6">
        <v>11.445309999999999</v>
      </c>
      <c r="C21" s="4">
        <v>801</v>
      </c>
      <c r="D21" s="4" t="s">
        <v>23</v>
      </c>
      <c r="E21" s="4" t="s">
        <v>23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3E98-91FF-4FB6-B4B8-C539CD2B8EDF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0.58519675925925929</v>
      </c>
      <c r="B2" s="6">
        <v>1.796875</v>
      </c>
      <c r="C2" s="4">
        <v>801</v>
      </c>
      <c r="D2" s="4" t="s">
        <v>23</v>
      </c>
      <c r="E2" s="4" t="s">
        <v>23</v>
      </c>
      <c r="F2" s="4" t="s">
        <v>23</v>
      </c>
      <c r="H2">
        <f>AVERAGE(C2:C21)</f>
        <v>802.5</v>
      </c>
    </row>
    <row r="3" spans="1:8" x14ac:dyDescent="0.2">
      <c r="A3" s="8">
        <v>0.58520833333333333</v>
      </c>
      <c r="B3" s="6">
        <v>2.2695310000000002</v>
      </c>
      <c r="C3" s="4">
        <v>802</v>
      </c>
      <c r="D3" s="4" t="s">
        <v>23</v>
      </c>
      <c r="E3" s="4" t="s">
        <v>23</v>
      </c>
      <c r="F3" s="4" t="s">
        <v>23</v>
      </c>
      <c r="H3">
        <f>91*(1023-H2)/H2</f>
        <v>25.003738317757009</v>
      </c>
    </row>
    <row r="4" spans="1:8" x14ac:dyDescent="0.2">
      <c r="A4" s="8">
        <v>0.58520833333333333</v>
      </c>
      <c r="B4" s="6">
        <v>2.7695310000000002</v>
      </c>
      <c r="C4" s="4">
        <v>802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0.58521990740740737</v>
      </c>
      <c r="B5" s="6">
        <v>3.2929689999999998</v>
      </c>
      <c r="C5" s="4">
        <v>803</v>
      </c>
      <c r="D5" s="4" t="s">
        <v>24</v>
      </c>
      <c r="E5" s="9">
        <v>0.54</v>
      </c>
      <c r="F5" s="4" t="s">
        <v>25</v>
      </c>
    </row>
    <row r="6" spans="1:8" x14ac:dyDescent="0.2">
      <c r="A6" s="8">
        <v>0.58521990740740737</v>
      </c>
      <c r="B6" s="6">
        <v>3.8085939999999998</v>
      </c>
      <c r="C6" s="4">
        <v>801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0.58523148148148152</v>
      </c>
      <c r="B7" s="6">
        <v>4.3125</v>
      </c>
      <c r="C7" s="4">
        <v>804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0.58523148148148152</v>
      </c>
      <c r="B8" s="6">
        <v>4.8125</v>
      </c>
      <c r="C8" s="4">
        <v>802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0.58524305555555556</v>
      </c>
      <c r="B9" s="6">
        <v>5.3125</v>
      </c>
      <c r="C9" s="4">
        <v>804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0.58524305555555556</v>
      </c>
      <c r="B10" s="6">
        <v>5.8359379999999996</v>
      </c>
      <c r="C10" s="4">
        <v>801</v>
      </c>
      <c r="D10" s="4" t="s">
        <v>24</v>
      </c>
      <c r="E10" s="9">
        <v>0.54</v>
      </c>
      <c r="F10" s="4" t="s">
        <v>25</v>
      </c>
    </row>
    <row r="11" spans="1:8" x14ac:dyDescent="0.2">
      <c r="A11" s="8">
        <v>0.5852546296296296</v>
      </c>
      <c r="B11" s="6">
        <v>6.3515629999999996</v>
      </c>
      <c r="C11" s="4">
        <v>801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0.5852546296296296</v>
      </c>
      <c r="B12" s="6">
        <v>6.8554690000000003</v>
      </c>
      <c r="C12" s="4">
        <v>802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0.58526620370370375</v>
      </c>
      <c r="B13" s="6">
        <v>7.3554690000000003</v>
      </c>
      <c r="C13" s="4">
        <v>804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0.58526620370370375</v>
      </c>
      <c r="B14" s="6">
        <v>7.8554690000000003</v>
      </c>
      <c r="C14" s="4">
        <v>802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0.58527777777777779</v>
      </c>
      <c r="B15" s="6">
        <v>8.3789060000000006</v>
      </c>
      <c r="C15" s="4">
        <v>802</v>
      </c>
      <c r="D15" s="4" t="s">
        <v>24</v>
      </c>
      <c r="E15" s="9">
        <v>0.54</v>
      </c>
      <c r="F15" s="4" t="s">
        <v>25</v>
      </c>
    </row>
    <row r="16" spans="1:8" x14ac:dyDescent="0.2">
      <c r="A16" s="8">
        <v>0.58527777777777779</v>
      </c>
      <c r="B16" s="6">
        <v>8.8984380000000005</v>
      </c>
      <c r="C16" s="4">
        <v>804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0.58528935185185182</v>
      </c>
      <c r="B17" s="6">
        <v>9.3945310000000006</v>
      </c>
      <c r="C17" s="4">
        <v>802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0.58528935185185182</v>
      </c>
      <c r="B18" s="6">
        <v>9.9023439999999994</v>
      </c>
      <c r="C18" s="4">
        <v>803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0.58530092592592597</v>
      </c>
      <c r="B19" s="6">
        <v>10.398440000000001</v>
      </c>
      <c r="C19" s="4">
        <v>802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0.58530092592592597</v>
      </c>
      <c r="B20" s="6">
        <v>10.92188</v>
      </c>
      <c r="C20" s="4">
        <v>804</v>
      </c>
      <c r="D20" s="4" t="s">
        <v>24</v>
      </c>
      <c r="E20" s="9">
        <v>0.54</v>
      </c>
      <c r="F20" s="4" t="s">
        <v>25</v>
      </c>
    </row>
    <row r="21" spans="1:6" x14ac:dyDescent="0.2">
      <c r="A21" s="8">
        <v>0.58531250000000001</v>
      </c>
      <c r="B21" s="6">
        <v>11.441409999999999</v>
      </c>
      <c r="C21" s="4">
        <v>804</v>
      </c>
      <c r="D21" s="4" t="s">
        <v>23</v>
      </c>
      <c r="E21" s="4" t="s">
        <v>23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7801A-6E9E-480F-A03B-78C2D4048085}">
  <dimension ref="A1:H24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0.58650462962962968</v>
      </c>
      <c r="B2" s="6">
        <v>1.800781</v>
      </c>
      <c r="C2" s="4">
        <v>832</v>
      </c>
      <c r="D2" s="4" t="s">
        <v>23</v>
      </c>
      <c r="E2" s="4" t="s">
        <v>23</v>
      </c>
      <c r="F2" s="4" t="s">
        <v>23</v>
      </c>
      <c r="H2">
        <f>AVERAGE(C2:C21)</f>
        <v>832.2</v>
      </c>
    </row>
    <row r="3" spans="1:8" x14ac:dyDescent="0.2">
      <c r="A3" s="8">
        <v>0.58651620370370372</v>
      </c>
      <c r="B3" s="6">
        <v>2.265625</v>
      </c>
      <c r="C3" s="4">
        <v>832</v>
      </c>
      <c r="D3" s="4" t="s">
        <v>23</v>
      </c>
      <c r="E3" s="4" t="s">
        <v>23</v>
      </c>
      <c r="F3" s="4" t="s">
        <v>23</v>
      </c>
      <c r="H3">
        <f>91*(1023-H2)/H2</f>
        <v>20.863734679163656</v>
      </c>
    </row>
    <row r="4" spans="1:8" x14ac:dyDescent="0.2">
      <c r="A4" s="8">
        <v>0.58651620370370372</v>
      </c>
      <c r="B4" s="6">
        <v>2.765625</v>
      </c>
      <c r="C4" s="4">
        <v>834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0.58652777777777776</v>
      </c>
      <c r="B5" s="6">
        <v>3.3007810000000002</v>
      </c>
      <c r="C5" s="4">
        <v>834</v>
      </c>
      <c r="D5" s="4" t="s">
        <v>24</v>
      </c>
      <c r="E5" s="9">
        <v>0.55000000000000004</v>
      </c>
      <c r="F5" s="4" t="s">
        <v>25</v>
      </c>
    </row>
    <row r="6" spans="1:8" x14ac:dyDescent="0.2">
      <c r="A6" s="8">
        <v>0.58652777777777776</v>
      </c>
      <c r="B6" s="6">
        <v>3.8125</v>
      </c>
      <c r="C6" s="4">
        <v>831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0.5865393518518518</v>
      </c>
      <c r="B7" s="6">
        <v>4.3125</v>
      </c>
      <c r="C7" s="4">
        <v>833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0.5865393518518518</v>
      </c>
      <c r="B8" s="6">
        <v>4.8125</v>
      </c>
      <c r="C8" s="4">
        <v>833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0.58655092592592595</v>
      </c>
      <c r="B9" s="6">
        <v>5.3164059999999997</v>
      </c>
      <c r="C9" s="4">
        <v>831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0.58656249999999999</v>
      </c>
      <c r="B10" s="6">
        <v>6.3359379999999996</v>
      </c>
      <c r="C10" s="4">
        <v>832</v>
      </c>
      <c r="D10" s="4" t="s">
        <v>26</v>
      </c>
      <c r="E10" s="4" t="s">
        <v>26</v>
      </c>
      <c r="F10" s="4">
        <v>-237</v>
      </c>
    </row>
    <row r="11" spans="1:8" x14ac:dyDescent="0.2">
      <c r="A11" s="8">
        <v>0.58656249999999999</v>
      </c>
      <c r="B11" s="6">
        <v>6.8515629999999996</v>
      </c>
      <c r="C11" s="4">
        <v>833</v>
      </c>
      <c r="D11" s="4" t="s">
        <v>26</v>
      </c>
      <c r="E11" s="4" t="s">
        <v>26</v>
      </c>
      <c r="F11" s="4">
        <v>3088</v>
      </c>
    </row>
    <row r="12" spans="1:8" x14ac:dyDescent="0.2">
      <c r="A12" s="8">
        <v>0.58657407407407403</v>
      </c>
      <c r="B12" s="6">
        <v>7.3984379999999996</v>
      </c>
      <c r="C12" s="4">
        <v>833</v>
      </c>
      <c r="D12" s="4" t="s">
        <v>24</v>
      </c>
      <c r="E12" s="9">
        <v>0.55000000000000004</v>
      </c>
      <c r="F12" s="4" t="s">
        <v>25</v>
      </c>
    </row>
    <row r="13" spans="1:8" x14ac:dyDescent="0.2">
      <c r="A13" s="8">
        <v>0.58657407407407403</v>
      </c>
      <c r="B13" s="6">
        <v>7.9140629999999996</v>
      </c>
      <c r="C13" s="4">
        <v>831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0.58658564814814818</v>
      </c>
      <c r="B14" s="6">
        <v>8.4140630000000005</v>
      </c>
      <c r="C14" s="4">
        <v>833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0.58658564814814818</v>
      </c>
      <c r="B15" s="6">
        <v>8.9140630000000005</v>
      </c>
      <c r="C15" s="4">
        <v>832</v>
      </c>
      <c r="D15" s="4" t="s">
        <v>23</v>
      </c>
      <c r="E15" s="4" t="s">
        <v>23</v>
      </c>
      <c r="F15" s="4" t="s">
        <v>23</v>
      </c>
    </row>
    <row r="16" spans="1:8" x14ac:dyDescent="0.2">
      <c r="A16" s="8">
        <v>0.58659722222222221</v>
      </c>
      <c r="B16" s="6">
        <v>9.4140630000000005</v>
      </c>
      <c r="C16" s="4">
        <v>831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0.58659722222222221</v>
      </c>
      <c r="B17" s="6">
        <v>9.9453130000000005</v>
      </c>
      <c r="C17" s="4">
        <v>832</v>
      </c>
      <c r="D17" s="4" t="s">
        <v>24</v>
      </c>
      <c r="E17" s="9">
        <v>0.54</v>
      </c>
      <c r="F17" s="4" t="s">
        <v>25</v>
      </c>
    </row>
    <row r="18" spans="1:6" x14ac:dyDescent="0.2">
      <c r="A18" s="8">
        <v>0.58660879629629625</v>
      </c>
      <c r="B18" s="6">
        <v>10.460940000000001</v>
      </c>
      <c r="C18" s="4">
        <v>830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0.58660879629629625</v>
      </c>
      <c r="B19" s="6">
        <v>10.960940000000001</v>
      </c>
      <c r="C19" s="4">
        <v>832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0.5866203703703704</v>
      </c>
      <c r="B20" s="6">
        <v>11.460940000000001</v>
      </c>
      <c r="C20" s="4">
        <v>833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0.5866203703703704</v>
      </c>
      <c r="B21" s="6">
        <v>11.960940000000001</v>
      </c>
      <c r="C21" s="4">
        <v>832</v>
      </c>
      <c r="D21" s="4" t="s">
        <v>23</v>
      </c>
      <c r="E21" s="4" t="s">
        <v>23</v>
      </c>
      <c r="F21" s="4" t="s">
        <v>23</v>
      </c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0D8DD-4DE0-447A-8713-4E7AF304A9CE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0.58775462962962965</v>
      </c>
      <c r="B2" s="6">
        <v>1.796875</v>
      </c>
      <c r="C2" s="4">
        <v>836</v>
      </c>
      <c r="D2" s="4" t="s">
        <v>23</v>
      </c>
      <c r="E2" s="4" t="s">
        <v>23</v>
      </c>
      <c r="F2" s="4" t="s">
        <v>23</v>
      </c>
      <c r="H2">
        <f>AVERAGE(C2:C21)</f>
        <v>835.7</v>
      </c>
    </row>
    <row r="3" spans="1:8" x14ac:dyDescent="0.2">
      <c r="A3" s="8">
        <v>0.58775462962962965</v>
      </c>
      <c r="B3" s="6">
        <v>2.2695310000000002</v>
      </c>
      <c r="C3" s="4">
        <v>836</v>
      </c>
      <c r="D3" s="4" t="s">
        <v>23</v>
      </c>
      <c r="E3" s="4" t="s">
        <v>23</v>
      </c>
      <c r="F3" s="4" t="s">
        <v>23</v>
      </c>
      <c r="H3">
        <f>91*(1023-H2)/H2</f>
        <v>20.395237525427778</v>
      </c>
    </row>
    <row r="4" spans="1:8" x14ac:dyDescent="0.2">
      <c r="A4" s="8">
        <v>0.58776620370370369</v>
      </c>
      <c r="B4" s="6">
        <v>2.7695310000000002</v>
      </c>
      <c r="C4" s="4">
        <v>837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0.58776620370370369</v>
      </c>
      <c r="B5" s="6">
        <v>3.2929689999999998</v>
      </c>
      <c r="C5" s="4">
        <v>838</v>
      </c>
      <c r="D5" s="4" t="s">
        <v>24</v>
      </c>
      <c r="E5" s="9">
        <v>0.55000000000000004</v>
      </c>
      <c r="F5" s="4" t="s">
        <v>25</v>
      </c>
    </row>
    <row r="6" spans="1:8" x14ac:dyDescent="0.2">
      <c r="A6" s="8">
        <v>0.58777777777777773</v>
      </c>
      <c r="B6" s="6">
        <v>3.8125</v>
      </c>
      <c r="C6" s="4">
        <v>838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0.58777777777777773</v>
      </c>
      <c r="B7" s="6">
        <v>4.3085940000000003</v>
      </c>
      <c r="C7" s="4">
        <v>837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0.58778935185185188</v>
      </c>
      <c r="B8" s="6">
        <v>4.8125</v>
      </c>
      <c r="C8" s="4">
        <v>837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0.58778935185185188</v>
      </c>
      <c r="B9" s="6">
        <v>5.3125</v>
      </c>
      <c r="C9" s="4">
        <v>836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0.58780092592592592</v>
      </c>
      <c r="B10" s="6">
        <v>5.8398440000000003</v>
      </c>
      <c r="C10" s="4">
        <v>835</v>
      </c>
      <c r="D10" s="4" t="s">
        <v>24</v>
      </c>
      <c r="E10" s="9">
        <v>0.55000000000000004</v>
      </c>
      <c r="F10" s="4" t="s">
        <v>25</v>
      </c>
    </row>
    <row r="11" spans="1:8" x14ac:dyDescent="0.2">
      <c r="A11" s="8">
        <v>0.58780092592592592</v>
      </c>
      <c r="B11" s="6">
        <v>6.3554690000000003</v>
      </c>
      <c r="C11" s="4">
        <v>836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0.58781249999999996</v>
      </c>
      <c r="B12" s="6">
        <v>6.8554690000000003</v>
      </c>
      <c r="C12" s="4">
        <v>837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0.58781249999999996</v>
      </c>
      <c r="B13" s="6">
        <v>7.359375</v>
      </c>
      <c r="C13" s="4">
        <v>836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0.58782407407407411</v>
      </c>
      <c r="B14" s="6">
        <v>7.859375</v>
      </c>
      <c r="C14" s="4">
        <v>834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0.58782407407407411</v>
      </c>
      <c r="B15" s="6">
        <v>8.3828130000000005</v>
      </c>
      <c r="C15" s="4">
        <v>835</v>
      </c>
      <c r="D15" s="4" t="s">
        <v>24</v>
      </c>
      <c r="E15" s="9">
        <v>0.55000000000000004</v>
      </c>
      <c r="F15" s="4" t="s">
        <v>25</v>
      </c>
    </row>
    <row r="16" spans="1:8" x14ac:dyDescent="0.2">
      <c r="A16" s="8">
        <v>0.58783564814814815</v>
      </c>
      <c r="B16" s="6">
        <v>8.8984380000000005</v>
      </c>
      <c r="C16" s="4">
        <v>835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0.58783564814814815</v>
      </c>
      <c r="B17" s="6">
        <v>9.3984380000000005</v>
      </c>
      <c r="C17" s="4">
        <v>835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0.58784722222222219</v>
      </c>
      <c r="B18" s="6">
        <v>9.8984380000000005</v>
      </c>
      <c r="C18" s="4">
        <v>834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0.58784722222222219</v>
      </c>
      <c r="B19" s="6">
        <v>10.402340000000001</v>
      </c>
      <c r="C19" s="4">
        <v>834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0.58785879629629634</v>
      </c>
      <c r="B20" s="6">
        <v>10.91797</v>
      </c>
      <c r="C20" s="4">
        <v>834</v>
      </c>
      <c r="D20" s="4" t="s">
        <v>26</v>
      </c>
      <c r="E20" s="4" t="s">
        <v>26</v>
      </c>
      <c r="F20" s="4">
        <v>21</v>
      </c>
    </row>
    <row r="21" spans="1:6" x14ac:dyDescent="0.2">
      <c r="A21" s="8">
        <v>0.58785879629629634</v>
      </c>
      <c r="B21" s="6">
        <v>11.441409999999999</v>
      </c>
      <c r="C21" s="4">
        <v>834</v>
      </c>
      <c r="D21" s="4" t="s">
        <v>26</v>
      </c>
      <c r="E21" s="4" t="s">
        <v>26</v>
      </c>
      <c r="F21" s="4">
        <v>4112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ACF7-DC2E-45D9-948D-41F91B3EB08F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0.58890046296296295</v>
      </c>
      <c r="B2" s="6">
        <v>1.7890630000000001</v>
      </c>
      <c r="C2" s="4">
        <v>826</v>
      </c>
      <c r="D2" s="4" t="s">
        <v>23</v>
      </c>
      <c r="E2" s="4" t="s">
        <v>23</v>
      </c>
      <c r="F2" s="4" t="s">
        <v>23</v>
      </c>
      <c r="H2">
        <f>AVERAGE(C2:C21)</f>
        <v>824.05</v>
      </c>
    </row>
    <row r="3" spans="1:8" x14ac:dyDescent="0.2">
      <c r="A3" s="8">
        <v>0.58890046296296295</v>
      </c>
      <c r="B3" s="6">
        <v>2.2578130000000001</v>
      </c>
      <c r="C3" s="4">
        <v>827</v>
      </c>
      <c r="D3" s="4" t="s">
        <v>23</v>
      </c>
      <c r="E3" s="4" t="s">
        <v>23</v>
      </c>
      <c r="F3" s="4" t="s">
        <v>23</v>
      </c>
      <c r="H3">
        <f>91*(1023-H2)/H2</f>
        <v>21.970086766579705</v>
      </c>
    </row>
    <row r="4" spans="1:8" x14ac:dyDescent="0.2">
      <c r="A4" s="8">
        <v>0.58891203703703698</v>
      </c>
      <c r="B4" s="6">
        <v>2.7578130000000001</v>
      </c>
      <c r="C4" s="4">
        <v>827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0.58891203703703698</v>
      </c>
      <c r="B5" s="6">
        <v>3.2851560000000002</v>
      </c>
      <c r="C5" s="4">
        <v>826</v>
      </c>
      <c r="D5" s="4" t="s">
        <v>24</v>
      </c>
      <c r="E5" s="9">
        <v>0.54</v>
      </c>
      <c r="F5" s="4" t="s">
        <v>25</v>
      </c>
    </row>
    <row r="6" spans="1:8" x14ac:dyDescent="0.2">
      <c r="A6" s="8">
        <v>0.58892361111111113</v>
      </c>
      <c r="B6" s="6">
        <v>3.8046880000000001</v>
      </c>
      <c r="C6" s="4">
        <v>824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0.58892361111111113</v>
      </c>
      <c r="B7" s="6">
        <v>4.3046879999999996</v>
      </c>
      <c r="C7" s="4">
        <v>824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0.58893518518518517</v>
      </c>
      <c r="B8" s="6">
        <v>4.8046879999999996</v>
      </c>
      <c r="C8" s="4">
        <v>825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0.58893518518518517</v>
      </c>
      <c r="B9" s="6">
        <v>5.3007809999999997</v>
      </c>
      <c r="C9" s="4">
        <v>826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0.58894675925925921</v>
      </c>
      <c r="B10" s="6">
        <v>5.8320309999999997</v>
      </c>
      <c r="C10" s="4">
        <v>826</v>
      </c>
      <c r="D10" s="4" t="s">
        <v>24</v>
      </c>
      <c r="E10" s="9">
        <v>0.55000000000000004</v>
      </c>
      <c r="F10" s="4" t="s">
        <v>25</v>
      </c>
    </row>
    <row r="11" spans="1:8" x14ac:dyDescent="0.2">
      <c r="A11" s="8">
        <v>0.58894675925925921</v>
      </c>
      <c r="B11" s="6">
        <v>6.3398440000000003</v>
      </c>
      <c r="C11" s="4">
        <v>824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0.58895833333333336</v>
      </c>
      <c r="B12" s="6">
        <v>6.8476559999999997</v>
      </c>
      <c r="C12" s="4">
        <v>823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0.58895833333333336</v>
      </c>
      <c r="B13" s="6">
        <v>7.3476559999999997</v>
      </c>
      <c r="C13" s="4">
        <v>822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0.5889699074074074</v>
      </c>
      <c r="B14" s="6">
        <v>7.8476559999999997</v>
      </c>
      <c r="C14" s="4">
        <v>822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0.5889699074074074</v>
      </c>
      <c r="B15" s="6">
        <v>8.375</v>
      </c>
      <c r="C15" s="4">
        <v>824</v>
      </c>
      <c r="D15" s="4" t="s">
        <v>24</v>
      </c>
      <c r="E15" s="9">
        <v>0.55000000000000004</v>
      </c>
      <c r="F15" s="4" t="s">
        <v>25</v>
      </c>
    </row>
    <row r="16" spans="1:8" x14ac:dyDescent="0.2">
      <c r="A16" s="8">
        <v>0.58898148148148144</v>
      </c>
      <c r="B16" s="6">
        <v>8.890625</v>
      </c>
      <c r="C16" s="4">
        <v>822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0.58898148148148144</v>
      </c>
      <c r="B17" s="6">
        <v>9.390625</v>
      </c>
      <c r="C17" s="4">
        <v>822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0.58899305555555559</v>
      </c>
      <c r="B18" s="6">
        <v>9.890625</v>
      </c>
      <c r="C18" s="4">
        <v>823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0.58899305555555559</v>
      </c>
      <c r="B19" s="6">
        <v>10.39453</v>
      </c>
      <c r="C19" s="4">
        <v>824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0.58900462962962963</v>
      </c>
      <c r="B20" s="6">
        <v>10.91797</v>
      </c>
      <c r="C20" s="4">
        <v>823</v>
      </c>
      <c r="D20" s="4" t="s">
        <v>24</v>
      </c>
      <c r="E20" s="9">
        <v>0.55000000000000004</v>
      </c>
      <c r="F20" s="4" t="s">
        <v>25</v>
      </c>
    </row>
    <row r="21" spans="1:6" x14ac:dyDescent="0.2">
      <c r="A21" s="8">
        <v>0.58901620370370367</v>
      </c>
      <c r="B21" s="6">
        <v>11.433590000000001</v>
      </c>
      <c r="C21" s="4">
        <v>821</v>
      </c>
      <c r="D21" s="4" t="s">
        <v>23</v>
      </c>
      <c r="E21" s="4" t="s">
        <v>23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CDA34-C808-43C9-95A2-46378E67F89A}">
  <dimension ref="A1:H36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0.59002314814814816</v>
      </c>
      <c r="B2" s="6">
        <v>1.8046880000000001</v>
      </c>
      <c r="C2" s="4">
        <v>798</v>
      </c>
      <c r="D2" s="4" t="s">
        <v>23</v>
      </c>
      <c r="E2" s="4" t="s">
        <v>23</v>
      </c>
      <c r="F2" s="4" t="s">
        <v>23</v>
      </c>
      <c r="H2">
        <f>AVERAGE(C2:C21)</f>
        <v>796.25</v>
      </c>
    </row>
    <row r="3" spans="1:8" x14ac:dyDescent="0.2">
      <c r="A3" s="8">
        <v>0.59002314814814816</v>
      </c>
      <c r="B3" s="6">
        <v>2.2773439999999998</v>
      </c>
      <c r="C3" s="4">
        <v>796</v>
      </c>
      <c r="D3" s="4" t="s">
        <v>23</v>
      </c>
      <c r="E3" s="4" t="s">
        <v>23</v>
      </c>
      <c r="F3" s="4" t="s">
        <v>23</v>
      </c>
      <c r="H3">
        <f>91*(1023-H2)/H2</f>
        <v>25.914285714285715</v>
      </c>
    </row>
    <row r="4" spans="1:8" x14ac:dyDescent="0.2">
      <c r="A4" s="8">
        <v>0.5900347222222222</v>
      </c>
      <c r="B4" s="6">
        <v>2.7734380000000001</v>
      </c>
      <c r="C4" s="4">
        <v>798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0.5900347222222222</v>
      </c>
      <c r="B5" s="6">
        <v>3.296875</v>
      </c>
      <c r="C5" s="4">
        <v>798</v>
      </c>
      <c r="D5" s="4" t="s">
        <v>26</v>
      </c>
      <c r="E5" s="4" t="s">
        <v>26</v>
      </c>
      <c r="F5" s="4">
        <v>21</v>
      </c>
    </row>
    <row r="6" spans="1:8" x14ac:dyDescent="0.2">
      <c r="A6" s="8">
        <v>0.59004629629629635</v>
      </c>
      <c r="B6" s="6">
        <v>3.8203130000000001</v>
      </c>
      <c r="C6" s="4">
        <v>798</v>
      </c>
      <c r="D6" s="4" t="s">
        <v>26</v>
      </c>
      <c r="E6" s="4" t="s">
        <v>26</v>
      </c>
      <c r="F6" s="4">
        <v>4112</v>
      </c>
    </row>
    <row r="7" spans="1:8" x14ac:dyDescent="0.2">
      <c r="A7" s="8">
        <v>0.59004629629629635</v>
      </c>
      <c r="B7" s="6">
        <v>4.3398440000000003</v>
      </c>
      <c r="C7" s="4">
        <v>796</v>
      </c>
      <c r="D7" s="4" t="s">
        <v>26</v>
      </c>
      <c r="E7" s="4" t="s">
        <v>26</v>
      </c>
      <c r="F7" s="4">
        <v>4112</v>
      </c>
    </row>
    <row r="8" spans="1:8" x14ac:dyDescent="0.2">
      <c r="A8" s="8">
        <v>0.59005787037037039</v>
      </c>
      <c r="B8" s="6">
        <v>4.875</v>
      </c>
      <c r="C8" s="4">
        <v>798</v>
      </c>
      <c r="D8" s="4" t="s">
        <v>26</v>
      </c>
      <c r="E8" s="4" t="s">
        <v>26</v>
      </c>
      <c r="F8" s="4">
        <v>21</v>
      </c>
    </row>
    <row r="9" spans="1:8" x14ac:dyDescent="0.2">
      <c r="A9" s="8">
        <v>0.59005787037037039</v>
      </c>
      <c r="B9" s="6">
        <v>5.4023440000000003</v>
      </c>
      <c r="C9" s="4">
        <v>796</v>
      </c>
      <c r="D9" s="4" t="s">
        <v>26</v>
      </c>
      <c r="E9" s="4" t="s">
        <v>26</v>
      </c>
      <c r="F9" s="4">
        <v>4112</v>
      </c>
    </row>
    <row r="10" spans="1:8" x14ac:dyDescent="0.2">
      <c r="A10" s="8">
        <v>0.59006944444444442</v>
      </c>
      <c r="B10" s="6">
        <v>5.921875</v>
      </c>
      <c r="C10" s="4">
        <v>797</v>
      </c>
      <c r="D10" s="4" t="s">
        <v>26</v>
      </c>
      <c r="E10" s="4" t="s">
        <v>26</v>
      </c>
      <c r="F10" s="4">
        <v>3088</v>
      </c>
    </row>
    <row r="11" spans="1:8" x14ac:dyDescent="0.2">
      <c r="A11" s="8">
        <v>0.59006944444444442</v>
      </c>
      <c r="B11" s="6">
        <v>6.46875</v>
      </c>
      <c r="C11" s="4">
        <v>797</v>
      </c>
      <c r="D11" s="4" t="s">
        <v>24</v>
      </c>
      <c r="E11" s="9">
        <v>0.54</v>
      </c>
      <c r="F11" s="4" t="s">
        <v>25</v>
      </c>
    </row>
    <row r="12" spans="1:8" x14ac:dyDescent="0.2">
      <c r="A12" s="8">
        <v>0.59008101851851846</v>
      </c>
      <c r="B12" s="6">
        <v>6.984375</v>
      </c>
      <c r="C12" s="4">
        <v>794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0.59008101851851846</v>
      </c>
      <c r="B13" s="6">
        <v>7.4804690000000003</v>
      </c>
      <c r="C13" s="4">
        <v>796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0.59009259259259261</v>
      </c>
      <c r="B14" s="6">
        <v>7.9804690000000003</v>
      </c>
      <c r="C14" s="4">
        <v>796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0.59009259259259261</v>
      </c>
      <c r="B15" s="6">
        <v>8.484375</v>
      </c>
      <c r="C15" s="4">
        <v>795</v>
      </c>
      <c r="D15" s="4" t="s">
        <v>23</v>
      </c>
      <c r="E15" s="4" t="s">
        <v>23</v>
      </c>
      <c r="F15" s="4" t="s">
        <v>23</v>
      </c>
    </row>
    <row r="16" spans="1:8" x14ac:dyDescent="0.2">
      <c r="A16" s="8">
        <v>0.59010416666666665</v>
      </c>
      <c r="B16" s="6">
        <v>9.0117189999999994</v>
      </c>
      <c r="C16" s="4">
        <v>794</v>
      </c>
      <c r="D16" s="4" t="s">
        <v>24</v>
      </c>
      <c r="E16" s="9">
        <v>0.54</v>
      </c>
      <c r="F16" s="4" t="s">
        <v>25</v>
      </c>
    </row>
    <row r="17" spans="1:6" x14ac:dyDescent="0.2">
      <c r="A17" s="8">
        <v>0.59010416666666665</v>
      </c>
      <c r="B17" s="6">
        <v>9.5273439999999994</v>
      </c>
      <c r="C17" s="4">
        <v>794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0.59011574074074069</v>
      </c>
      <c r="B18" s="6">
        <v>10.027340000000001</v>
      </c>
      <c r="C18" s="4">
        <v>795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0.59011574074074069</v>
      </c>
      <c r="B19" s="6">
        <v>10.523440000000001</v>
      </c>
      <c r="C19" s="4">
        <v>795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0.59012731481481484</v>
      </c>
      <c r="B20" s="6">
        <v>11.023440000000001</v>
      </c>
      <c r="C20" s="4">
        <v>798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0.59012731481481484</v>
      </c>
      <c r="B21" s="6">
        <v>11.54688</v>
      </c>
      <c r="C21" s="4">
        <v>796</v>
      </c>
      <c r="D21" s="4" t="s">
        <v>26</v>
      </c>
      <c r="E21" s="4" t="s">
        <v>26</v>
      </c>
      <c r="F21" s="4">
        <v>21</v>
      </c>
    </row>
    <row r="22" spans="1:6" x14ac:dyDescent="0.2">
      <c r="A22" s="8"/>
    </row>
    <row r="23" spans="1:6" x14ac:dyDescent="0.2">
      <c r="A23" s="8"/>
    </row>
    <row r="24" spans="1:6" x14ac:dyDescent="0.2">
      <c r="A24" s="8"/>
      <c r="E24" s="9"/>
    </row>
    <row r="25" spans="1:6" x14ac:dyDescent="0.2">
      <c r="A25" s="8"/>
    </row>
    <row r="26" spans="1:6" x14ac:dyDescent="0.2">
      <c r="A26" s="8"/>
    </row>
    <row r="27" spans="1:6" x14ac:dyDescent="0.2">
      <c r="A27" s="8"/>
    </row>
    <row r="28" spans="1:6" x14ac:dyDescent="0.2">
      <c r="A28" s="8"/>
    </row>
    <row r="29" spans="1:6" x14ac:dyDescent="0.2">
      <c r="A29" s="8"/>
      <c r="E29" s="9"/>
    </row>
    <row r="30" spans="1:6" x14ac:dyDescent="0.2">
      <c r="A30" s="8"/>
    </row>
    <row r="31" spans="1:6" x14ac:dyDescent="0.2">
      <c r="A31" s="8"/>
    </row>
    <row r="32" spans="1:6" x14ac:dyDescent="0.2">
      <c r="A32" s="8"/>
    </row>
    <row r="33" spans="1:5" x14ac:dyDescent="0.2">
      <c r="A33" s="8"/>
    </row>
    <row r="34" spans="1:5" x14ac:dyDescent="0.2">
      <c r="A34" s="8"/>
      <c r="E34" s="9"/>
    </row>
    <row r="35" spans="1:5" x14ac:dyDescent="0.2">
      <c r="A35" s="8"/>
    </row>
    <row r="36" spans="1:5" x14ac:dyDescent="0.2">
      <c r="A36" s="8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20D-539E-4D53-B8B1-856D1DB1354C}">
  <dimension ref="A1:H33"/>
  <sheetViews>
    <sheetView workbookViewId="0">
      <selection activeCell="H9" sqref="H8:H9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0.59129629629629632</v>
      </c>
      <c r="B2" s="6">
        <v>1.8046880000000001</v>
      </c>
      <c r="C2" s="4">
        <v>825</v>
      </c>
      <c r="D2" s="4" t="s">
        <v>23</v>
      </c>
      <c r="E2" s="4" t="s">
        <v>23</v>
      </c>
      <c r="F2" s="4" t="s">
        <v>23</v>
      </c>
      <c r="H2">
        <f>AVERAGE(C2:C21)</f>
        <v>823.85</v>
      </c>
    </row>
    <row r="3" spans="1:8" x14ac:dyDescent="0.2">
      <c r="A3" s="8">
        <v>0.59129629629629632</v>
      </c>
      <c r="B3" s="6">
        <v>2.2773439999999998</v>
      </c>
      <c r="C3" s="4">
        <v>825</v>
      </c>
      <c r="D3" s="4" t="s">
        <v>23</v>
      </c>
      <c r="E3" s="4" t="s">
        <v>23</v>
      </c>
      <c r="F3" s="4" t="s">
        <v>23</v>
      </c>
      <c r="H3">
        <f>91*(1023-H2)/H2</f>
        <v>21.997511682951991</v>
      </c>
    </row>
    <row r="4" spans="1:8" x14ac:dyDescent="0.2">
      <c r="A4" s="8">
        <v>0.59130787037037036</v>
      </c>
      <c r="B4" s="6">
        <v>2.7734380000000001</v>
      </c>
      <c r="C4" s="4">
        <v>825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0.59130787037037036</v>
      </c>
      <c r="B5" s="6">
        <v>3.3046880000000001</v>
      </c>
      <c r="C5" s="4">
        <v>826</v>
      </c>
      <c r="D5" s="4" t="s">
        <v>24</v>
      </c>
      <c r="E5" s="9">
        <v>0.55000000000000004</v>
      </c>
      <c r="F5" s="4" t="s">
        <v>25</v>
      </c>
    </row>
    <row r="6" spans="1:8" x14ac:dyDescent="0.2">
      <c r="A6" s="8">
        <v>0.5913194444444444</v>
      </c>
      <c r="B6" s="6">
        <v>3.8203130000000001</v>
      </c>
      <c r="C6" s="4">
        <v>826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0.5913194444444444</v>
      </c>
      <c r="B7" s="6">
        <v>4.3203129999999996</v>
      </c>
      <c r="C7" s="4">
        <v>825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0.59133101851851855</v>
      </c>
      <c r="B8" s="6">
        <v>4.8203129999999996</v>
      </c>
      <c r="C8" s="4">
        <v>825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0.59133101851851855</v>
      </c>
      <c r="B9" s="6">
        <v>5.3203129999999996</v>
      </c>
      <c r="C9" s="4">
        <v>824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0.59134259259259259</v>
      </c>
      <c r="B10" s="6">
        <v>5.84375</v>
      </c>
      <c r="C10" s="4">
        <v>824</v>
      </c>
      <c r="D10" s="4" t="s">
        <v>24</v>
      </c>
      <c r="E10" s="9">
        <v>0.55000000000000004</v>
      </c>
      <c r="F10" s="4" t="s">
        <v>25</v>
      </c>
    </row>
    <row r="11" spans="1:8" x14ac:dyDescent="0.2">
      <c r="A11" s="8">
        <v>0.59134259259259259</v>
      </c>
      <c r="B11" s="6">
        <v>6.3632809999999997</v>
      </c>
      <c r="C11" s="4">
        <v>825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0.59135416666666663</v>
      </c>
      <c r="B12" s="6">
        <v>6.8632809999999997</v>
      </c>
      <c r="C12" s="4">
        <v>825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0.59135416666666663</v>
      </c>
      <c r="B13" s="6">
        <v>7.359375</v>
      </c>
      <c r="C13" s="4">
        <v>823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0.59136574074074078</v>
      </c>
      <c r="B14" s="6">
        <v>7.8671879999999996</v>
      </c>
      <c r="C14" s="4">
        <v>822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0.59137731481481481</v>
      </c>
      <c r="B15" s="6">
        <v>8.890625</v>
      </c>
      <c r="C15" s="4">
        <v>822</v>
      </c>
      <c r="D15" s="4" t="s">
        <v>26</v>
      </c>
      <c r="E15" s="4" t="s">
        <v>26</v>
      </c>
      <c r="F15" s="4">
        <v>-237</v>
      </c>
    </row>
    <row r="16" spans="1:8" x14ac:dyDescent="0.2">
      <c r="A16" s="8">
        <v>0.59137731481481481</v>
      </c>
      <c r="B16" s="6">
        <v>9.4101560000000006</v>
      </c>
      <c r="C16" s="4">
        <v>823</v>
      </c>
      <c r="D16" s="4" t="s">
        <v>26</v>
      </c>
      <c r="E16" s="4" t="s">
        <v>26</v>
      </c>
      <c r="F16" s="4">
        <v>4112</v>
      </c>
    </row>
    <row r="17" spans="1:6" x14ac:dyDescent="0.2">
      <c r="A17" s="8">
        <v>0.59138888888888885</v>
      </c>
      <c r="B17" s="6">
        <v>9.9492189999999994</v>
      </c>
      <c r="C17" s="4">
        <v>824</v>
      </c>
      <c r="D17" s="4" t="s">
        <v>24</v>
      </c>
      <c r="E17" s="9">
        <v>0.55000000000000004</v>
      </c>
      <c r="F17" s="4" t="s">
        <v>25</v>
      </c>
    </row>
    <row r="18" spans="1:6" x14ac:dyDescent="0.2">
      <c r="A18" s="8">
        <v>0.59138888888888885</v>
      </c>
      <c r="B18" s="6">
        <v>10.46875</v>
      </c>
      <c r="C18" s="4">
        <v>823</v>
      </c>
      <c r="D18" s="4" t="s">
        <v>23</v>
      </c>
      <c r="E18" s="4" t="s">
        <v>23</v>
      </c>
      <c r="F18" s="4" t="s">
        <v>23</v>
      </c>
    </row>
    <row r="19" spans="1:6" x14ac:dyDescent="0.2">
      <c r="A19" s="8">
        <v>0.591400462962963</v>
      </c>
      <c r="B19" s="6">
        <v>10.96875</v>
      </c>
      <c r="C19" s="4">
        <v>823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0.591400462962963</v>
      </c>
      <c r="B20" s="6">
        <v>11.46875</v>
      </c>
      <c r="C20" s="4">
        <v>821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0.59141203703703704</v>
      </c>
      <c r="B21" s="6">
        <v>11.96875</v>
      </c>
      <c r="C21" s="4">
        <v>821</v>
      </c>
      <c r="D21" s="4" t="s">
        <v>23</v>
      </c>
      <c r="E21" s="4" t="s">
        <v>23</v>
      </c>
      <c r="F21" s="4" t="s">
        <v>23</v>
      </c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  <row r="25" spans="1:6" x14ac:dyDescent="0.2">
      <c r="A25" s="8"/>
    </row>
    <row r="26" spans="1:6" x14ac:dyDescent="0.2">
      <c r="A26" s="8"/>
    </row>
    <row r="27" spans="1:6" x14ac:dyDescent="0.2">
      <c r="A27" s="8"/>
      <c r="E27" s="9"/>
    </row>
    <row r="28" spans="1:6" x14ac:dyDescent="0.2">
      <c r="A28" s="8"/>
    </row>
    <row r="29" spans="1:6" x14ac:dyDescent="0.2">
      <c r="A29" s="8"/>
    </row>
    <row r="30" spans="1:6" x14ac:dyDescent="0.2">
      <c r="A30" s="8"/>
    </row>
    <row r="31" spans="1:6" x14ac:dyDescent="0.2">
      <c r="A31" s="8"/>
    </row>
    <row r="32" spans="1:6" x14ac:dyDescent="0.2">
      <c r="A32" s="8"/>
      <c r="E32" s="9"/>
    </row>
    <row r="33" spans="1:1" x14ac:dyDescent="0.2">
      <c r="A33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D0F11-79EE-463E-954B-2A9F4982B172}">
  <dimension ref="A1:H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0.59282407407407411</v>
      </c>
      <c r="B2" s="6">
        <v>1.796875</v>
      </c>
      <c r="C2" s="4">
        <v>5</v>
      </c>
      <c r="D2" s="4" t="s">
        <v>23</v>
      </c>
      <c r="E2" s="4" t="s">
        <v>23</v>
      </c>
      <c r="F2" s="4" t="s">
        <v>23</v>
      </c>
      <c r="H2">
        <f>AVERAGE(C2:C21)</f>
        <v>740.95</v>
      </c>
    </row>
    <row r="3" spans="1:8" x14ac:dyDescent="0.2">
      <c r="A3" s="8">
        <v>0.59283564814814815</v>
      </c>
      <c r="B3" s="6">
        <v>2.265625</v>
      </c>
      <c r="C3" s="4">
        <v>793</v>
      </c>
      <c r="D3" s="4" t="s">
        <v>23</v>
      </c>
      <c r="E3" s="4" t="s">
        <v>23</v>
      </c>
      <c r="F3" s="4" t="s">
        <v>23</v>
      </c>
      <c r="H3">
        <f>91*(1023-H2)/H2</f>
        <v>34.640056683986764</v>
      </c>
    </row>
    <row r="4" spans="1:8" x14ac:dyDescent="0.2">
      <c r="A4" s="8">
        <v>0.59283564814814815</v>
      </c>
      <c r="B4" s="6">
        <v>2.765625</v>
      </c>
      <c r="C4" s="4">
        <v>795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0.59284722222222219</v>
      </c>
      <c r="B5" s="6">
        <v>3.28125</v>
      </c>
      <c r="C5" s="4">
        <v>788</v>
      </c>
      <c r="D5" s="4" t="s">
        <v>24</v>
      </c>
      <c r="E5" s="9">
        <v>0.54</v>
      </c>
      <c r="F5" s="4" t="s">
        <v>25</v>
      </c>
    </row>
    <row r="6" spans="1:8" x14ac:dyDescent="0.2">
      <c r="A6" s="8">
        <v>0.59284722222222219</v>
      </c>
      <c r="B6" s="6">
        <v>3.796875</v>
      </c>
      <c r="C6" s="4">
        <v>780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0.59285879629629634</v>
      </c>
      <c r="B7" s="6">
        <v>4.296875</v>
      </c>
      <c r="C7" s="4">
        <v>779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0.59285879629629634</v>
      </c>
      <c r="B8" s="6">
        <v>4.8125</v>
      </c>
      <c r="C8" s="4">
        <v>780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0.59287037037037038</v>
      </c>
      <c r="B9" s="6">
        <v>5.3125</v>
      </c>
      <c r="C9" s="4">
        <v>776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0.59287037037037038</v>
      </c>
      <c r="B10" s="6">
        <v>5.828125</v>
      </c>
      <c r="C10" s="4">
        <v>776</v>
      </c>
      <c r="D10" s="4" t="s">
        <v>24</v>
      </c>
      <c r="E10" s="9">
        <v>0.54</v>
      </c>
      <c r="F10" s="4" t="s">
        <v>25</v>
      </c>
    </row>
    <row r="11" spans="1:8" x14ac:dyDescent="0.2">
      <c r="A11" s="8">
        <v>0.59288194444444442</v>
      </c>
      <c r="B11" s="6">
        <v>6.34375</v>
      </c>
      <c r="C11" s="4">
        <v>778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0.59288194444444442</v>
      </c>
      <c r="B12" s="6">
        <v>6.84375</v>
      </c>
      <c r="C12" s="4">
        <v>779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0.59289351851851857</v>
      </c>
      <c r="B13" s="6">
        <v>7.34375</v>
      </c>
      <c r="C13" s="4">
        <v>779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0.59289351851851857</v>
      </c>
      <c r="B14" s="6">
        <v>7.84375</v>
      </c>
      <c r="C14" s="4">
        <v>774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0.59290509259259261</v>
      </c>
      <c r="B15" s="6">
        <v>8.375</v>
      </c>
      <c r="C15" s="4">
        <v>779</v>
      </c>
      <c r="D15" s="4" t="s">
        <v>26</v>
      </c>
      <c r="E15" s="4" t="s">
        <v>26</v>
      </c>
      <c r="F15" s="4">
        <v>21</v>
      </c>
    </row>
    <row r="16" spans="1:8" x14ac:dyDescent="0.2">
      <c r="A16" s="8">
        <v>0.59290509259259261</v>
      </c>
      <c r="B16" s="6">
        <v>8.890625</v>
      </c>
      <c r="C16" s="4">
        <v>778</v>
      </c>
      <c r="D16" s="4" t="s">
        <v>26</v>
      </c>
      <c r="E16" s="4" t="s">
        <v>26</v>
      </c>
      <c r="F16" s="4">
        <v>3088</v>
      </c>
    </row>
    <row r="17" spans="1:6" x14ac:dyDescent="0.2">
      <c r="A17" s="8">
        <v>0.59291666666666665</v>
      </c>
      <c r="B17" s="6">
        <v>9.40625</v>
      </c>
      <c r="C17" s="4">
        <v>775</v>
      </c>
      <c r="D17" s="4" t="s">
        <v>26</v>
      </c>
      <c r="E17" s="4" t="s">
        <v>26</v>
      </c>
      <c r="F17" s="4">
        <v>4112</v>
      </c>
    </row>
    <row r="18" spans="1:6" x14ac:dyDescent="0.2">
      <c r="A18" s="8">
        <v>0.59291666666666665</v>
      </c>
      <c r="B18" s="6">
        <v>9.953125</v>
      </c>
      <c r="C18" s="4">
        <v>778</v>
      </c>
      <c r="D18" s="4" t="s">
        <v>24</v>
      </c>
      <c r="E18" s="9">
        <v>0.55000000000000004</v>
      </c>
      <c r="F18" s="4" t="s">
        <v>25</v>
      </c>
    </row>
    <row r="19" spans="1:6" x14ac:dyDescent="0.2">
      <c r="A19" s="8">
        <v>0.59292824074074069</v>
      </c>
      <c r="B19" s="6">
        <v>10.46875</v>
      </c>
      <c r="C19" s="4">
        <v>775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0.59292824074074069</v>
      </c>
      <c r="B20" s="6">
        <v>10.96875</v>
      </c>
      <c r="C20" s="4">
        <v>777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0.59293981481481484</v>
      </c>
      <c r="B21" s="6">
        <v>11.48438</v>
      </c>
      <c r="C21" s="4">
        <v>775</v>
      </c>
      <c r="D21" s="4" t="s">
        <v>23</v>
      </c>
      <c r="E21" s="4" t="s">
        <v>23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DE7D6-D5EA-4DF0-A60D-9B788FB6C0B2}">
  <dimension ref="A1:H46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0.594212962962963</v>
      </c>
      <c r="B2" s="6">
        <v>1.7890630000000001</v>
      </c>
      <c r="C2" s="4">
        <v>817</v>
      </c>
      <c r="D2" s="4" t="s">
        <v>23</v>
      </c>
      <c r="E2" s="4" t="s">
        <v>23</v>
      </c>
      <c r="F2" s="4" t="s">
        <v>23</v>
      </c>
      <c r="H2">
        <f>AVERAGE(C2:C21)</f>
        <v>815.85</v>
      </c>
    </row>
    <row r="3" spans="1:8" x14ac:dyDescent="0.2">
      <c r="A3" s="8">
        <v>0.594212962962963</v>
      </c>
      <c r="B3" s="6">
        <v>2.2578130000000001</v>
      </c>
      <c r="C3" s="4">
        <v>817</v>
      </c>
      <c r="D3" s="4" t="s">
        <v>23</v>
      </c>
      <c r="E3" s="4" t="s">
        <v>23</v>
      </c>
      <c r="F3" s="4" t="s">
        <v>23</v>
      </c>
      <c r="H3">
        <f>91*(1023-H2)/H2</f>
        <v>23.105534105534101</v>
      </c>
    </row>
    <row r="4" spans="1:8" x14ac:dyDescent="0.2">
      <c r="A4" s="8">
        <v>0.59422453703703704</v>
      </c>
      <c r="B4" s="6">
        <v>2.7578130000000001</v>
      </c>
      <c r="C4" s="4">
        <v>815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0.59422453703703704</v>
      </c>
      <c r="B5" s="6">
        <v>3.2734380000000001</v>
      </c>
      <c r="C5" s="4">
        <v>815</v>
      </c>
      <c r="D5" s="4" t="s">
        <v>26</v>
      </c>
      <c r="E5" s="4" t="s">
        <v>26</v>
      </c>
      <c r="F5" s="4">
        <v>21</v>
      </c>
    </row>
    <row r="6" spans="1:8" x14ac:dyDescent="0.2">
      <c r="A6" s="8">
        <v>0.59423611111111108</v>
      </c>
      <c r="B6" s="6">
        <v>3.8046880000000001</v>
      </c>
      <c r="C6" s="4">
        <v>818</v>
      </c>
      <c r="D6" s="4" t="s">
        <v>26</v>
      </c>
      <c r="E6" s="4" t="s">
        <v>26</v>
      </c>
      <c r="F6" s="4">
        <v>4112</v>
      </c>
    </row>
    <row r="7" spans="1:8" x14ac:dyDescent="0.2">
      <c r="A7" s="8">
        <v>0.59423611111111108</v>
      </c>
      <c r="B7" s="6">
        <v>4.3203129999999996</v>
      </c>
      <c r="C7" s="4">
        <v>815</v>
      </c>
      <c r="D7" s="4" t="s">
        <v>26</v>
      </c>
      <c r="E7" s="4" t="s">
        <v>26</v>
      </c>
      <c r="F7" s="4">
        <v>3088</v>
      </c>
    </row>
    <row r="8" spans="1:8" x14ac:dyDescent="0.2">
      <c r="A8" s="8">
        <v>0.59424768518518523</v>
      </c>
      <c r="B8" s="6">
        <v>4.8671879999999996</v>
      </c>
      <c r="C8" s="4">
        <v>817</v>
      </c>
      <c r="D8" s="4" t="s">
        <v>24</v>
      </c>
      <c r="E8" s="9">
        <v>0.54</v>
      </c>
      <c r="F8" s="4" t="s">
        <v>25</v>
      </c>
    </row>
    <row r="9" spans="1:8" x14ac:dyDescent="0.2">
      <c r="A9" s="8">
        <v>0.59424768518518523</v>
      </c>
      <c r="B9" s="6">
        <v>5.3789059999999997</v>
      </c>
      <c r="C9" s="4">
        <v>817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0.59425925925925926</v>
      </c>
      <c r="B10" s="6">
        <v>5.8789059999999997</v>
      </c>
      <c r="C10" s="4">
        <v>818</v>
      </c>
      <c r="D10" s="4" t="s">
        <v>23</v>
      </c>
      <c r="E10" s="4" t="s">
        <v>23</v>
      </c>
      <c r="F10" s="4" t="s">
        <v>23</v>
      </c>
    </row>
    <row r="11" spans="1:8" x14ac:dyDescent="0.2">
      <c r="A11" s="8">
        <v>0.59425925925925926</v>
      </c>
      <c r="B11" s="6">
        <v>6.3789059999999997</v>
      </c>
      <c r="C11" s="4">
        <v>815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0.5942708333333333</v>
      </c>
      <c r="B12" s="6">
        <v>6.8789059999999997</v>
      </c>
      <c r="C12" s="4">
        <v>815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0.59428240740740745</v>
      </c>
      <c r="B13" s="6">
        <v>7.4101559999999997</v>
      </c>
      <c r="C13" s="4">
        <v>816</v>
      </c>
      <c r="D13" s="4" t="s">
        <v>24</v>
      </c>
      <c r="E13" s="9">
        <v>0.54</v>
      </c>
      <c r="F13" s="4" t="s">
        <v>25</v>
      </c>
    </row>
    <row r="14" spans="1:8" x14ac:dyDescent="0.2">
      <c r="A14" s="8">
        <v>0.59428240740740745</v>
      </c>
      <c r="B14" s="6">
        <v>7.9296879999999996</v>
      </c>
      <c r="C14" s="4">
        <v>817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0.59429398148148149</v>
      </c>
      <c r="B15" s="6">
        <v>8.4296880000000005</v>
      </c>
      <c r="C15" s="4">
        <v>815</v>
      </c>
      <c r="D15" s="4" t="s">
        <v>23</v>
      </c>
      <c r="E15" s="4" t="s">
        <v>23</v>
      </c>
      <c r="F15" s="4" t="s">
        <v>23</v>
      </c>
    </row>
    <row r="16" spans="1:8" x14ac:dyDescent="0.2">
      <c r="A16" s="8">
        <v>0.59429398148148149</v>
      </c>
      <c r="B16" s="6">
        <v>8.9257810000000006</v>
      </c>
      <c r="C16" s="4">
        <v>815</v>
      </c>
      <c r="D16" s="4" t="s">
        <v>23</v>
      </c>
      <c r="E16" s="4" t="s">
        <v>23</v>
      </c>
      <c r="F16" s="4" t="s">
        <v>23</v>
      </c>
    </row>
    <row r="17" spans="1:6" x14ac:dyDescent="0.2">
      <c r="A17" s="8">
        <v>0.59430555555555553</v>
      </c>
      <c r="B17" s="6">
        <v>9.4257810000000006</v>
      </c>
      <c r="C17" s="4">
        <v>814</v>
      </c>
      <c r="D17" s="4" t="s">
        <v>23</v>
      </c>
      <c r="E17" s="4" t="s">
        <v>23</v>
      </c>
      <c r="F17" s="4" t="s">
        <v>23</v>
      </c>
    </row>
    <row r="18" spans="1:6" x14ac:dyDescent="0.2">
      <c r="A18" s="8">
        <v>0.59430555555555553</v>
      </c>
      <c r="B18" s="6">
        <v>9.9414060000000006</v>
      </c>
      <c r="C18" s="4">
        <v>815</v>
      </c>
      <c r="D18" s="4" t="s">
        <v>24</v>
      </c>
      <c r="E18" s="9">
        <v>0.54</v>
      </c>
      <c r="F18" s="4" t="s">
        <v>25</v>
      </c>
    </row>
    <row r="19" spans="1:6" x14ac:dyDescent="0.2">
      <c r="A19" s="8">
        <v>0.59431712962962968</v>
      </c>
      <c r="B19" s="6">
        <v>10.45703</v>
      </c>
      <c r="C19" s="4">
        <v>816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0.59431712962962968</v>
      </c>
      <c r="B20" s="6">
        <v>10.972659999999999</v>
      </c>
      <c r="C20" s="4">
        <v>817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0.59432870370370372</v>
      </c>
      <c r="B21" s="6">
        <v>11.472659999999999</v>
      </c>
      <c r="C21" s="4">
        <v>813</v>
      </c>
      <c r="D21" s="4" t="s">
        <v>23</v>
      </c>
      <c r="E21" s="4" t="s">
        <v>23</v>
      </c>
      <c r="F21" s="4" t="s">
        <v>23</v>
      </c>
    </row>
    <row r="22" spans="1:6" x14ac:dyDescent="0.2">
      <c r="A22" s="8"/>
    </row>
    <row r="23" spans="1:6" x14ac:dyDescent="0.2">
      <c r="A23" s="8"/>
      <c r="E23" s="9"/>
    </row>
    <row r="24" spans="1:6" x14ac:dyDescent="0.2">
      <c r="A24" s="8"/>
    </row>
    <row r="25" spans="1:6" x14ac:dyDescent="0.2">
      <c r="A25" s="8"/>
    </row>
    <row r="26" spans="1:6" x14ac:dyDescent="0.2">
      <c r="A26" s="8"/>
    </row>
    <row r="27" spans="1:6" x14ac:dyDescent="0.2">
      <c r="A27" s="8"/>
    </row>
    <row r="28" spans="1:6" x14ac:dyDescent="0.2">
      <c r="A28" s="8"/>
      <c r="E28" s="9"/>
    </row>
    <row r="29" spans="1:6" x14ac:dyDescent="0.2">
      <c r="A29" s="8"/>
    </row>
    <row r="30" spans="1:6" x14ac:dyDescent="0.2">
      <c r="A30" s="8"/>
    </row>
    <row r="31" spans="1:6" x14ac:dyDescent="0.2">
      <c r="A31" s="8"/>
    </row>
    <row r="32" spans="1:6" x14ac:dyDescent="0.2">
      <c r="A32" s="8"/>
    </row>
    <row r="33" spans="1:5" x14ac:dyDescent="0.2">
      <c r="A33" s="8"/>
    </row>
    <row r="34" spans="1:5" x14ac:dyDescent="0.2">
      <c r="A34" s="8"/>
    </row>
    <row r="35" spans="1:5" x14ac:dyDescent="0.2">
      <c r="A35" s="8"/>
    </row>
    <row r="36" spans="1:5" x14ac:dyDescent="0.2">
      <c r="A36" s="8"/>
      <c r="E36" s="9"/>
    </row>
    <row r="37" spans="1:5" x14ac:dyDescent="0.2">
      <c r="A37" s="8"/>
    </row>
    <row r="38" spans="1:5" x14ac:dyDescent="0.2">
      <c r="A38" s="8"/>
    </row>
    <row r="39" spans="1:5" x14ac:dyDescent="0.2">
      <c r="A39" s="8"/>
    </row>
    <row r="40" spans="1:5" x14ac:dyDescent="0.2">
      <c r="A40" s="8"/>
    </row>
    <row r="41" spans="1:5" x14ac:dyDescent="0.2">
      <c r="A41" s="8"/>
    </row>
    <row r="42" spans="1:5" x14ac:dyDescent="0.2">
      <c r="A42" s="8"/>
    </row>
    <row r="43" spans="1:5" x14ac:dyDescent="0.2">
      <c r="A43" s="8"/>
    </row>
    <row r="44" spans="1:5" x14ac:dyDescent="0.2">
      <c r="A44" s="8"/>
      <c r="E44" s="9"/>
    </row>
    <row r="45" spans="1:5" x14ac:dyDescent="0.2">
      <c r="A45" s="8"/>
    </row>
    <row r="46" spans="1:5" x14ac:dyDescent="0.2">
      <c r="A46" s="8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7D45B-818A-4BF6-9DF8-D7EDCC928E50}">
  <dimension ref="A1:H25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>
        <v>0.59578703703703706</v>
      </c>
      <c r="B2" s="6">
        <v>1.8046880000000001</v>
      </c>
      <c r="C2" s="4">
        <v>821</v>
      </c>
      <c r="D2" s="4" t="s">
        <v>23</v>
      </c>
      <c r="E2" s="4" t="s">
        <v>23</v>
      </c>
      <c r="F2" s="4" t="s">
        <v>23</v>
      </c>
      <c r="H2">
        <f>AVERAGE(C2:C21)</f>
        <v>816.5</v>
      </c>
    </row>
    <row r="3" spans="1:8" x14ac:dyDescent="0.2">
      <c r="A3" s="8">
        <v>0.59578703703703706</v>
      </c>
      <c r="B3" s="6">
        <v>2.2773439999999998</v>
      </c>
      <c r="C3" s="4">
        <v>817</v>
      </c>
      <c r="D3" s="4" t="s">
        <v>23</v>
      </c>
      <c r="E3" s="4" t="s">
        <v>23</v>
      </c>
      <c r="F3" s="4" t="s">
        <v>23</v>
      </c>
      <c r="H3">
        <f>91*(1023-H2)/H2</f>
        <v>23.014696876913657</v>
      </c>
    </row>
    <row r="4" spans="1:8" x14ac:dyDescent="0.2">
      <c r="A4" s="8">
        <v>0.5957986111111111</v>
      </c>
      <c r="B4" s="6">
        <v>2.78125</v>
      </c>
      <c r="C4" s="4">
        <v>819</v>
      </c>
      <c r="D4" s="4" t="s">
        <v>23</v>
      </c>
      <c r="E4" s="4" t="s">
        <v>23</v>
      </c>
      <c r="F4" s="4" t="s">
        <v>23</v>
      </c>
    </row>
    <row r="5" spans="1:8" x14ac:dyDescent="0.2">
      <c r="A5" s="8">
        <v>0.5957986111111111</v>
      </c>
      <c r="B5" s="6">
        <v>3.3046880000000001</v>
      </c>
      <c r="C5" s="4">
        <v>820</v>
      </c>
      <c r="D5" s="4" t="s">
        <v>24</v>
      </c>
      <c r="E5" s="9">
        <v>0.54</v>
      </c>
      <c r="F5" s="4" t="s">
        <v>25</v>
      </c>
    </row>
    <row r="6" spans="1:8" x14ac:dyDescent="0.2">
      <c r="A6" s="8">
        <v>0.59581018518518514</v>
      </c>
      <c r="B6" s="6">
        <v>3.8203130000000001</v>
      </c>
      <c r="C6" s="4">
        <v>816</v>
      </c>
      <c r="D6" s="4" t="s">
        <v>23</v>
      </c>
      <c r="E6" s="4" t="s">
        <v>23</v>
      </c>
      <c r="F6" s="4" t="s">
        <v>23</v>
      </c>
    </row>
    <row r="7" spans="1:8" x14ac:dyDescent="0.2">
      <c r="A7" s="8">
        <v>0.59581018518518514</v>
      </c>
      <c r="B7" s="6">
        <v>4.3203129999999996</v>
      </c>
      <c r="C7" s="4">
        <v>819</v>
      </c>
      <c r="D7" s="4" t="s">
        <v>23</v>
      </c>
      <c r="E7" s="4" t="s">
        <v>23</v>
      </c>
      <c r="F7" s="4" t="s">
        <v>23</v>
      </c>
    </row>
    <row r="8" spans="1:8" x14ac:dyDescent="0.2">
      <c r="A8" s="8">
        <v>0.59582175925925929</v>
      </c>
      <c r="B8" s="6">
        <v>4.8203129999999996</v>
      </c>
      <c r="C8" s="4">
        <v>817</v>
      </c>
      <c r="D8" s="4" t="s">
        <v>23</v>
      </c>
      <c r="E8" s="4" t="s">
        <v>23</v>
      </c>
      <c r="F8" s="4" t="s">
        <v>23</v>
      </c>
    </row>
    <row r="9" spans="1:8" x14ac:dyDescent="0.2">
      <c r="A9" s="8">
        <v>0.59582175925925929</v>
      </c>
      <c r="B9" s="6">
        <v>5.3203129999999996</v>
      </c>
      <c r="C9" s="4">
        <v>819</v>
      </c>
      <c r="D9" s="4" t="s">
        <v>23</v>
      </c>
      <c r="E9" s="4" t="s">
        <v>23</v>
      </c>
      <c r="F9" s="4" t="s">
        <v>23</v>
      </c>
    </row>
    <row r="10" spans="1:8" x14ac:dyDescent="0.2">
      <c r="A10" s="8">
        <v>0.59583333333333333</v>
      </c>
      <c r="B10" s="6">
        <v>5.84375</v>
      </c>
      <c r="C10" s="4">
        <v>815</v>
      </c>
      <c r="D10" s="4" t="s">
        <v>24</v>
      </c>
      <c r="E10" s="9">
        <v>0.54</v>
      </c>
      <c r="F10" s="4" t="s">
        <v>25</v>
      </c>
    </row>
    <row r="11" spans="1:8" x14ac:dyDescent="0.2">
      <c r="A11" s="8">
        <v>0.59583333333333333</v>
      </c>
      <c r="B11" s="6">
        <v>6.3632809999999997</v>
      </c>
      <c r="C11" s="4">
        <v>818</v>
      </c>
      <c r="D11" s="4" t="s">
        <v>23</v>
      </c>
      <c r="E11" s="4" t="s">
        <v>23</v>
      </c>
      <c r="F11" s="4" t="s">
        <v>23</v>
      </c>
    </row>
    <row r="12" spans="1:8" x14ac:dyDescent="0.2">
      <c r="A12" s="8">
        <v>0.59584490740740736</v>
      </c>
      <c r="B12" s="6">
        <v>6.8632809999999997</v>
      </c>
      <c r="C12" s="4">
        <v>815</v>
      </c>
      <c r="D12" s="4" t="s">
        <v>23</v>
      </c>
      <c r="E12" s="4" t="s">
        <v>23</v>
      </c>
      <c r="F12" s="4" t="s">
        <v>23</v>
      </c>
    </row>
    <row r="13" spans="1:8" x14ac:dyDescent="0.2">
      <c r="A13" s="8">
        <v>0.59584490740740736</v>
      </c>
      <c r="B13" s="6">
        <v>7.3632809999999997</v>
      </c>
      <c r="C13" s="4">
        <v>817</v>
      </c>
      <c r="D13" s="4" t="s">
        <v>23</v>
      </c>
      <c r="E13" s="4" t="s">
        <v>23</v>
      </c>
      <c r="F13" s="4" t="s">
        <v>23</v>
      </c>
    </row>
    <row r="14" spans="1:8" x14ac:dyDescent="0.2">
      <c r="A14" s="8">
        <v>0.59585648148148151</v>
      </c>
      <c r="B14" s="6">
        <v>7.8632809999999997</v>
      </c>
      <c r="C14" s="4">
        <v>815</v>
      </c>
      <c r="D14" s="4" t="s">
        <v>23</v>
      </c>
      <c r="E14" s="4" t="s">
        <v>23</v>
      </c>
      <c r="F14" s="4" t="s">
        <v>23</v>
      </c>
    </row>
    <row r="15" spans="1:8" x14ac:dyDescent="0.2">
      <c r="A15" s="8">
        <v>0.59585648148148151</v>
      </c>
      <c r="B15" s="6">
        <v>8.3828130000000005</v>
      </c>
      <c r="C15" s="4">
        <v>816</v>
      </c>
      <c r="D15" s="4" t="s">
        <v>26</v>
      </c>
      <c r="E15" s="4" t="s">
        <v>26</v>
      </c>
      <c r="F15" s="4">
        <v>21</v>
      </c>
    </row>
    <row r="16" spans="1:8" x14ac:dyDescent="0.2">
      <c r="A16" s="8">
        <v>0.59586805555555555</v>
      </c>
      <c r="B16" s="6">
        <v>8.9101560000000006</v>
      </c>
      <c r="C16" s="4">
        <v>815</v>
      </c>
      <c r="D16" s="4" t="s">
        <v>26</v>
      </c>
      <c r="E16" s="4" t="s">
        <v>26</v>
      </c>
      <c r="F16" s="4">
        <v>3088</v>
      </c>
    </row>
    <row r="17" spans="1:6" x14ac:dyDescent="0.2">
      <c r="A17" s="8">
        <v>0.59586805555555555</v>
      </c>
      <c r="B17" s="6">
        <v>9.4296880000000005</v>
      </c>
      <c r="C17" s="4">
        <v>815</v>
      </c>
      <c r="D17" s="4" t="s">
        <v>26</v>
      </c>
      <c r="E17" s="4" t="s">
        <v>26</v>
      </c>
      <c r="F17" s="4">
        <v>4112</v>
      </c>
    </row>
    <row r="18" spans="1:6" x14ac:dyDescent="0.2">
      <c r="A18" s="8">
        <v>0.59587962962962959</v>
      </c>
      <c r="B18" s="6">
        <v>9.96875</v>
      </c>
      <c r="C18" s="4">
        <v>816</v>
      </c>
      <c r="D18" s="4" t="s">
        <v>24</v>
      </c>
      <c r="E18" s="9">
        <v>0.54</v>
      </c>
      <c r="F18" s="4" t="s">
        <v>25</v>
      </c>
    </row>
    <row r="19" spans="1:6" x14ac:dyDescent="0.2">
      <c r="A19" s="8">
        <v>0.59587962962962959</v>
      </c>
      <c r="B19" s="6">
        <v>10.48828</v>
      </c>
      <c r="C19" s="4">
        <v>813</v>
      </c>
      <c r="D19" s="4" t="s">
        <v>23</v>
      </c>
      <c r="E19" s="4" t="s">
        <v>23</v>
      </c>
      <c r="F19" s="4" t="s">
        <v>23</v>
      </c>
    </row>
    <row r="20" spans="1:6" x14ac:dyDescent="0.2">
      <c r="A20" s="8">
        <v>0.59589120370370374</v>
      </c>
      <c r="B20" s="6">
        <v>10.98828</v>
      </c>
      <c r="C20" s="4">
        <v>813</v>
      </c>
      <c r="D20" s="4" t="s">
        <v>23</v>
      </c>
      <c r="E20" s="4" t="s">
        <v>23</v>
      </c>
      <c r="F20" s="4" t="s">
        <v>23</v>
      </c>
    </row>
    <row r="21" spans="1:6" x14ac:dyDescent="0.2">
      <c r="A21" s="8">
        <v>0.59589120370370374</v>
      </c>
      <c r="B21" s="6">
        <v>11.48828</v>
      </c>
      <c r="C21" s="4">
        <v>814</v>
      </c>
      <c r="D21" s="4" t="s">
        <v>23</v>
      </c>
      <c r="E21" s="4" t="s">
        <v>23</v>
      </c>
      <c r="F21" s="4" t="s">
        <v>23</v>
      </c>
    </row>
    <row r="22" spans="1:6" x14ac:dyDescent="0.2">
      <c r="A22" s="8"/>
    </row>
    <row r="23" spans="1:6" x14ac:dyDescent="0.2">
      <c r="A23" s="8"/>
    </row>
    <row r="24" spans="1:6" x14ac:dyDescent="0.2">
      <c r="A24" s="8"/>
    </row>
    <row r="25" spans="1:6" x14ac:dyDescent="0.2">
      <c r="A25" s="8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0</v>
      </c>
      <c r="E6" s="13"/>
      <c r="F6" s="14"/>
    </row>
    <row r="7" spans="2:13" ht="12.75" customHeight="1" x14ac:dyDescent="0.2">
      <c r="B7" s="1" t="s">
        <v>6</v>
      </c>
      <c r="C7" s="2" t="b">
        <v>0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37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689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標準</vt:lpstr>
      <vt:lpstr>小30</vt:lpstr>
      <vt:lpstr>小40</vt:lpstr>
      <vt:lpstr>小50</vt:lpstr>
      <vt:lpstr>小60</vt:lpstr>
      <vt:lpstr>小70</vt:lpstr>
      <vt:lpstr>小80</vt:lpstr>
      <vt:lpstr>A2</vt:lpstr>
      <vt:lpstr>B2</vt:lpstr>
      <vt:lpstr>A3</vt:lpstr>
      <vt:lpstr>B3</vt:lpstr>
      <vt:lpstr>A4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2026-09-21T07:00:53Z</dcterms:modified>
</cp:coreProperties>
</file>