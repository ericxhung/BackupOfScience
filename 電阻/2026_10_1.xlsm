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10_1\"/>
    </mc:Choice>
  </mc:AlternateContent>
  <xr:revisionPtr revIDLastSave="0" documentId="13_ncr:1_{A271A259-B461-4EED-8C24-F13EA4A25827}" xr6:coauthVersionLast="47" xr6:coauthVersionMax="47" xr10:uidLastSave="{00000000-0000-0000-0000-000000000000}"/>
  <bookViews>
    <workbookView xWindow="-120" yWindow="-120" windowWidth="20730" windowHeight="11160" tabRatio="795" firstSheet="1" activeTab="1" xr2:uid="{00000000-000D-0000-FFFF-FFFF00000000}"/>
  </bookViews>
  <sheets>
    <sheet name="溫度" sheetId="36" r:id="rId1"/>
    <sheet name="A2" sheetId="37" r:id="rId2"/>
    <sheet name="A3" sheetId="38" r:id="rId3"/>
    <sheet name="A4" sheetId="39" r:id="rId4"/>
    <sheet name="B2" sheetId="40" r:id="rId5"/>
    <sheet name="B3" sheetId="41" r:id="rId6"/>
    <sheet name="B4" sheetId="42" r:id="rId7"/>
    <sheet name="養樂多空白值" sheetId="43" r:id="rId8"/>
    <sheet name="養樂多 磨過" sheetId="51" r:id="rId9"/>
    <sheet name="養樂多30" sheetId="44" r:id="rId10"/>
    <sheet name="養樂多40" sheetId="46" r:id="rId11"/>
    <sheet name="養樂多50" sheetId="47" r:id="rId12"/>
    <sheet name="養樂多60" sheetId="48" r:id="rId13"/>
    <sheet name="養樂多70" sheetId="49" r:id="rId14"/>
    <sheet name="養樂多80" sheetId="50" r:id="rId15"/>
    <sheet name="PLXDAQ_new_Settings" sheetId="6" state="hidden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3" i="51" l="1"/>
  <c r="D22" i="51"/>
  <c r="D23" i="43"/>
  <c r="D22" i="43"/>
  <c r="I2" i="50"/>
  <c r="I3" i="50" s="1"/>
  <c r="I2" i="49"/>
  <c r="I3" i="49" s="1"/>
  <c r="I2" i="48"/>
  <c r="I3" i="48" s="1"/>
  <c r="I2" i="47"/>
  <c r="I3" i="47" s="1"/>
  <c r="I2" i="46"/>
  <c r="I3" i="46" s="1"/>
  <c r="I2" i="44"/>
  <c r="I3" i="44" s="1"/>
  <c r="I2" i="43"/>
  <c r="I3" i="43" s="1"/>
  <c r="I2" i="42"/>
  <c r="I3" i="42" s="1"/>
  <c r="I2" i="41"/>
  <c r="I3" i="41" s="1"/>
  <c r="I2" i="40"/>
  <c r="I3" i="40" s="1"/>
  <c r="I2" i="39"/>
  <c r="I3" i="39" s="1"/>
  <c r="I2" i="38"/>
  <c r="I3" i="38" s="1"/>
  <c r="I2" i="37"/>
  <c r="I3" i="37" s="1"/>
</calcChain>
</file>

<file path=xl/sharedStrings.xml><?xml version="1.0" encoding="utf-8"?>
<sst xmlns="http://schemas.openxmlformats.org/spreadsheetml/2006/main" count="1053" uniqueCount="42">
  <si>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</si>
  <si>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</si>
  <si>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</si>
  <si>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</si>
  <si>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</si>
  <si>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</si>
  <si>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</si>
  <si>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</si>
  <si>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</si>
  <si>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</si>
  <si>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</si>
  <si>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</si>
  <si>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</si>
  <si>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</si>
  <si>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</si>
  <si>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</si>
  <si>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</si>
  <si>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</si>
  <si>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</si>
  <si>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</si>
  <si>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</si>
  <si>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</si>
  <si>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</si>
  <si>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</si>
  <si>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</si>
  <si>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NULL</t>
  </si>
  <si>
    <t>Error</t>
  </si>
  <si>
    <t>28.00 C</t>
  </si>
  <si>
    <t>Date</t>
    <phoneticPr fontId="4" type="noConversion"/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</si>
  <si>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</si>
  <si>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</si>
  <si>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</si>
  <si>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</si>
  <si>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</si>
  <si>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</si>
  <si>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  <phoneticPr fontId="4" type="noConversion"/>
  </si>
  <si>
    <t>29.00 C</t>
    <phoneticPr fontId="4" type="noConversion"/>
  </si>
  <si>
    <t>NULL</t>
    <phoneticPr fontId="4" type="noConversion"/>
  </si>
  <si>
    <t>Error</t>
    <phoneticPr fontId="4" type="noConversion"/>
  </si>
  <si>
    <t>28.00 C</t>
    <phoneticPr fontId="4" type="noConversion"/>
  </si>
  <si>
    <t>養樂多 磨過</t>
    <phoneticPr fontId="4" type="noConversion"/>
  </si>
  <si>
    <t>27.00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</si>
</sst>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G21"/>
  <sheetViews>
    <sheetView workbookViewId="0">
      <selection activeCell="E20" sqref="E20:F20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7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7" x14ac:dyDescent="0.2">
      <c r="A2" s="8">
        <v>46296</v>
      </c>
      <c r="B2" s="9">
        <v>0.55359953703703701</v>
      </c>
      <c r="C2" s="6">
        <v>1.8984380000000001</v>
      </c>
      <c r="D2" s="4">
        <v>0</v>
      </c>
      <c r="E2" s="4" t="s">
        <v>35</v>
      </c>
      <c r="F2" s="4" t="s">
        <v>35</v>
      </c>
      <c r="G2" s="4" t="s">
        <v>35</v>
      </c>
    </row>
    <row r="3" spans="1:7" x14ac:dyDescent="0.2">
      <c r="A3" s="8">
        <v>46296</v>
      </c>
      <c r="B3" s="9">
        <v>0.55359953703703701</v>
      </c>
      <c r="C3" s="6">
        <v>2.2734380000000001</v>
      </c>
      <c r="D3" s="4">
        <v>1</v>
      </c>
      <c r="E3" s="4" t="s">
        <v>35</v>
      </c>
      <c r="F3" s="4" t="s">
        <v>35</v>
      </c>
      <c r="G3" s="4" t="s">
        <v>35</v>
      </c>
    </row>
    <row r="4" spans="1:7" x14ac:dyDescent="0.2">
      <c r="A4" s="8">
        <v>46296</v>
      </c>
      <c r="B4" s="9">
        <v>0.55361111111111116</v>
      </c>
      <c r="C4" s="6">
        <v>2.7734380000000001</v>
      </c>
      <c r="D4" s="4">
        <v>0</v>
      </c>
      <c r="E4" s="4" t="s">
        <v>35</v>
      </c>
      <c r="F4" s="4" t="s">
        <v>35</v>
      </c>
      <c r="G4" s="4" t="s">
        <v>35</v>
      </c>
    </row>
    <row r="5" spans="1:7" x14ac:dyDescent="0.2">
      <c r="A5" s="8">
        <v>46296</v>
      </c>
      <c r="B5" s="9">
        <v>0.55361111111111116</v>
      </c>
      <c r="C5" s="6">
        <v>3.2890630000000001</v>
      </c>
      <c r="D5" s="4">
        <v>0</v>
      </c>
      <c r="E5" s="4" t="s">
        <v>36</v>
      </c>
      <c r="F5" s="10">
        <v>0.57999999999999996</v>
      </c>
      <c r="G5" s="4" t="s">
        <v>37</v>
      </c>
    </row>
    <row r="6" spans="1:7" x14ac:dyDescent="0.2">
      <c r="A6" s="8">
        <v>46296</v>
      </c>
      <c r="B6" s="9">
        <v>0.5536226851851852</v>
      </c>
      <c r="C6" s="6">
        <v>3.8203130000000001</v>
      </c>
      <c r="D6" s="4">
        <v>0</v>
      </c>
      <c r="E6" s="4" t="s">
        <v>35</v>
      </c>
      <c r="F6" s="4" t="s">
        <v>35</v>
      </c>
      <c r="G6" s="4" t="s">
        <v>35</v>
      </c>
    </row>
    <row r="7" spans="1:7" x14ac:dyDescent="0.2">
      <c r="A7" s="8">
        <v>46296</v>
      </c>
      <c r="B7" s="9">
        <v>0.5536226851851852</v>
      </c>
      <c r="C7" s="6">
        <v>4.3203129999999996</v>
      </c>
      <c r="D7" s="4">
        <v>2</v>
      </c>
      <c r="E7" s="4" t="s">
        <v>35</v>
      </c>
      <c r="F7" s="4" t="s">
        <v>35</v>
      </c>
      <c r="G7" s="4" t="s">
        <v>35</v>
      </c>
    </row>
    <row r="8" spans="1:7" x14ac:dyDescent="0.2">
      <c r="A8" s="8">
        <v>46296</v>
      </c>
      <c r="B8" s="9">
        <v>0.55363425925925924</v>
      </c>
      <c r="C8" s="6">
        <v>4.8203129999999996</v>
      </c>
      <c r="D8" s="4">
        <v>0</v>
      </c>
      <c r="E8" s="4" t="s">
        <v>35</v>
      </c>
      <c r="F8" s="4" t="s">
        <v>35</v>
      </c>
      <c r="G8" s="4" t="s">
        <v>35</v>
      </c>
    </row>
    <row r="9" spans="1:7" x14ac:dyDescent="0.2">
      <c r="A9" s="8">
        <v>46296</v>
      </c>
      <c r="B9" s="9">
        <v>0.55363425925925924</v>
      </c>
      <c r="C9" s="6">
        <v>5.3203129999999996</v>
      </c>
      <c r="D9" s="4">
        <v>3</v>
      </c>
      <c r="E9" s="4" t="s">
        <v>35</v>
      </c>
      <c r="F9" s="4" t="s">
        <v>35</v>
      </c>
      <c r="G9" s="4" t="s">
        <v>35</v>
      </c>
    </row>
    <row r="10" spans="1:7" x14ac:dyDescent="0.2">
      <c r="A10" s="8">
        <v>46296</v>
      </c>
      <c r="B10" s="9">
        <v>0.55364583333333328</v>
      </c>
      <c r="C10" s="6">
        <v>5.8359379999999996</v>
      </c>
      <c r="D10" s="4">
        <v>0</v>
      </c>
      <c r="E10" s="4" t="s">
        <v>38</v>
      </c>
      <c r="F10" s="10" t="s">
        <v>26</v>
      </c>
      <c r="G10" s="4">
        <v>21</v>
      </c>
    </row>
    <row r="11" spans="1:7" x14ac:dyDescent="0.2">
      <c r="A11" s="8">
        <v>46296</v>
      </c>
      <c r="B11" s="9">
        <v>0.55364583333333328</v>
      </c>
      <c r="C11" s="6">
        <v>6.3515629999999996</v>
      </c>
      <c r="D11" s="4">
        <v>0</v>
      </c>
      <c r="E11" s="4" t="s">
        <v>38</v>
      </c>
      <c r="F11" s="4" t="s">
        <v>38</v>
      </c>
      <c r="G11" s="4">
        <v>4112</v>
      </c>
    </row>
    <row r="12" spans="1:7" x14ac:dyDescent="0.2">
      <c r="A12" s="8">
        <v>46296</v>
      </c>
      <c r="B12" s="9">
        <v>0.55365740740740743</v>
      </c>
      <c r="C12" s="6">
        <v>6.8828129999999996</v>
      </c>
      <c r="D12" s="4">
        <v>0</v>
      </c>
      <c r="E12" s="4" t="s">
        <v>38</v>
      </c>
      <c r="F12" s="4" t="s">
        <v>38</v>
      </c>
      <c r="G12" s="4">
        <v>4112</v>
      </c>
    </row>
    <row r="13" spans="1:7" x14ac:dyDescent="0.2">
      <c r="A13" s="8">
        <v>46296</v>
      </c>
      <c r="B13" s="9">
        <v>0.55365740740740743</v>
      </c>
      <c r="C13" s="6">
        <v>7.4140629999999996</v>
      </c>
      <c r="D13" s="4">
        <v>0</v>
      </c>
      <c r="E13" s="4" t="s">
        <v>36</v>
      </c>
      <c r="F13" s="10">
        <v>0.57999999999999996</v>
      </c>
      <c r="G13" s="4" t="s">
        <v>37</v>
      </c>
    </row>
    <row r="14" spans="1:7" x14ac:dyDescent="0.2">
      <c r="A14" s="8">
        <v>46296</v>
      </c>
      <c r="B14" s="9">
        <v>0.55366898148148147</v>
      </c>
      <c r="C14" s="6">
        <v>7.9453129999999996</v>
      </c>
      <c r="D14" s="4">
        <v>0</v>
      </c>
      <c r="E14" s="4" t="s">
        <v>35</v>
      </c>
      <c r="F14" s="4" t="s">
        <v>35</v>
      </c>
      <c r="G14" s="4" t="s">
        <v>35</v>
      </c>
    </row>
    <row r="15" spans="1:7" x14ac:dyDescent="0.2">
      <c r="A15" s="8">
        <v>46296</v>
      </c>
      <c r="B15" s="9">
        <v>0.55366898148148147</v>
      </c>
      <c r="C15" s="6">
        <v>8.4453130000000005</v>
      </c>
      <c r="D15" s="4">
        <v>0</v>
      </c>
      <c r="E15" s="4" t="s">
        <v>35</v>
      </c>
      <c r="F15" s="10" t="s">
        <v>24</v>
      </c>
      <c r="G15" s="4" t="s">
        <v>35</v>
      </c>
    </row>
    <row r="16" spans="1:7" x14ac:dyDescent="0.2">
      <c r="A16" s="8">
        <v>46296</v>
      </c>
      <c r="B16" s="9">
        <v>0.55368055555555551</v>
      </c>
      <c r="C16" s="6">
        <v>8.9453130000000005</v>
      </c>
      <c r="D16" s="4">
        <v>0</v>
      </c>
      <c r="E16" s="4" t="s">
        <v>35</v>
      </c>
      <c r="F16" s="4" t="s">
        <v>35</v>
      </c>
      <c r="G16" s="4" t="s">
        <v>35</v>
      </c>
    </row>
    <row r="17" spans="1:7" x14ac:dyDescent="0.2">
      <c r="A17" s="8">
        <v>46296</v>
      </c>
      <c r="B17" s="9">
        <v>0.55368055555555551</v>
      </c>
      <c r="C17" s="6">
        <v>9.4453130000000005</v>
      </c>
      <c r="D17" s="4">
        <v>2</v>
      </c>
      <c r="E17" s="4" t="s">
        <v>35</v>
      </c>
      <c r="F17" s="4" t="s">
        <v>35</v>
      </c>
      <c r="G17" s="4" t="s">
        <v>35</v>
      </c>
    </row>
    <row r="18" spans="1:7" x14ac:dyDescent="0.2">
      <c r="A18" s="8">
        <v>46296</v>
      </c>
      <c r="B18" s="9">
        <v>0.55369212962962966</v>
      </c>
      <c r="C18" s="6">
        <v>9.9609380000000005</v>
      </c>
      <c r="D18" s="4">
        <v>0</v>
      </c>
      <c r="E18" s="4" t="s">
        <v>36</v>
      </c>
      <c r="F18" s="10">
        <v>0.57999999999999996</v>
      </c>
      <c r="G18" s="4" t="s">
        <v>37</v>
      </c>
    </row>
    <row r="19" spans="1:7" x14ac:dyDescent="0.2">
      <c r="A19" s="8">
        <v>46296</v>
      </c>
      <c r="B19" s="9">
        <v>0.55369212962962966</v>
      </c>
      <c r="C19" s="6">
        <v>10.48828</v>
      </c>
      <c r="D19" s="4">
        <v>0</v>
      </c>
      <c r="E19" s="4" t="s">
        <v>35</v>
      </c>
      <c r="F19" s="4" t="s">
        <v>35</v>
      </c>
      <c r="G19" s="4" t="s">
        <v>35</v>
      </c>
    </row>
    <row r="20" spans="1:7" x14ac:dyDescent="0.2">
      <c r="A20" s="8">
        <v>46296</v>
      </c>
      <c r="B20" s="9">
        <v>0.5537037037037037</v>
      </c>
      <c r="C20" s="6">
        <v>10.98828</v>
      </c>
      <c r="D20" s="4">
        <v>0</v>
      </c>
      <c r="E20" s="4" t="s">
        <v>35</v>
      </c>
      <c r="F20" s="10" t="s">
        <v>24</v>
      </c>
      <c r="G20" s="4" t="s">
        <v>35</v>
      </c>
    </row>
    <row r="21" spans="1:7" x14ac:dyDescent="0.2">
      <c r="A21" s="8">
        <v>46296</v>
      </c>
      <c r="B21" s="9">
        <v>0.5537037037037037</v>
      </c>
      <c r="C21" s="6">
        <v>11.48828</v>
      </c>
      <c r="D21" s="4">
        <v>3</v>
      </c>
      <c r="E21" s="4" t="s">
        <v>35</v>
      </c>
      <c r="F21" s="4" t="s">
        <v>35</v>
      </c>
      <c r="G21" s="4" t="s">
        <v>35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4C665-6F51-42A7-B9C1-E96838D6E9ED}">
  <dimension ref="A1:I21"/>
  <sheetViews>
    <sheetView tabSelected="1" workbookViewId="0">
      <selection activeCell="T7" sqref="T1:T7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46296</v>
      </c>
      <c r="B2" s="9">
        <v>0.55410879629629628</v>
      </c>
      <c r="C2" s="6">
        <v>1.8125</v>
      </c>
      <c r="D2" s="4">
        <v>843</v>
      </c>
      <c r="E2" s="4" t="s">
        <v>35</v>
      </c>
      <c r="F2" s="4" t="s">
        <v>35</v>
      </c>
      <c r="G2" s="4" t="s">
        <v>35</v>
      </c>
      <c r="I2">
        <f>AVERAGE(D2:D21)</f>
        <v>841.2</v>
      </c>
    </row>
    <row r="3" spans="1:9" x14ac:dyDescent="0.2">
      <c r="A3" s="8">
        <v>46296</v>
      </c>
      <c r="B3" s="9">
        <v>0.55412037037037032</v>
      </c>
      <c r="C3" s="6">
        <v>2.296875</v>
      </c>
      <c r="D3" s="4">
        <v>844</v>
      </c>
      <c r="E3" s="4" t="s">
        <v>35</v>
      </c>
      <c r="F3" s="4" t="s">
        <v>35</v>
      </c>
      <c r="G3" s="4" t="s">
        <v>35</v>
      </c>
      <c r="I3">
        <f>91*(1023-I2)/I2</f>
        <v>19.666904422253918</v>
      </c>
    </row>
    <row r="4" spans="1:9" x14ac:dyDescent="0.2">
      <c r="A4" s="8">
        <v>46296</v>
      </c>
      <c r="B4" s="9">
        <v>0.55412037037037032</v>
      </c>
      <c r="C4" s="6">
        <v>2.796875</v>
      </c>
      <c r="D4" s="4">
        <v>842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46296</v>
      </c>
      <c r="B5" s="9">
        <v>0.55413194444444447</v>
      </c>
      <c r="C5" s="6">
        <v>3.3125</v>
      </c>
      <c r="D5" s="4">
        <v>844</v>
      </c>
      <c r="E5" s="4" t="s">
        <v>39</v>
      </c>
      <c r="F5" s="10">
        <v>0.56999999999999995</v>
      </c>
      <c r="G5" s="4" t="s">
        <v>25</v>
      </c>
    </row>
    <row r="6" spans="1:9" x14ac:dyDescent="0.2">
      <c r="A6" s="8">
        <v>46296</v>
      </c>
      <c r="B6" s="9">
        <v>0.55413194444444447</v>
      </c>
      <c r="C6" s="6">
        <v>3.828125</v>
      </c>
      <c r="D6" s="4">
        <v>843</v>
      </c>
      <c r="E6" s="4" t="s">
        <v>35</v>
      </c>
      <c r="F6" s="4" t="s">
        <v>35</v>
      </c>
      <c r="G6" s="4" t="s">
        <v>24</v>
      </c>
    </row>
    <row r="7" spans="1:9" x14ac:dyDescent="0.2">
      <c r="A7" s="8">
        <v>46296</v>
      </c>
      <c r="B7" s="9">
        <v>0.55414351851851851</v>
      </c>
      <c r="C7" s="6">
        <v>4.328125</v>
      </c>
      <c r="D7" s="4">
        <v>842</v>
      </c>
      <c r="E7" s="4" t="s">
        <v>35</v>
      </c>
      <c r="F7" s="10" t="s">
        <v>24</v>
      </c>
      <c r="G7" s="4" t="s">
        <v>35</v>
      </c>
    </row>
    <row r="8" spans="1:9" x14ac:dyDescent="0.2">
      <c r="A8" s="8">
        <v>46296</v>
      </c>
      <c r="B8" s="9">
        <v>0.55414351851851851</v>
      </c>
      <c r="C8" s="6">
        <v>4.828125</v>
      </c>
      <c r="D8" s="4">
        <v>843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46296</v>
      </c>
      <c r="B9" s="9">
        <v>0.55415509259259255</v>
      </c>
      <c r="C9" s="6">
        <v>5.328125</v>
      </c>
      <c r="D9" s="4">
        <v>842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46296</v>
      </c>
      <c r="B10" s="9">
        <v>0.5541666666666667</v>
      </c>
      <c r="C10" s="6">
        <v>5.84375</v>
      </c>
      <c r="D10" s="4">
        <v>842</v>
      </c>
      <c r="E10" s="4" t="s">
        <v>38</v>
      </c>
      <c r="F10" s="4" t="s">
        <v>38</v>
      </c>
      <c r="G10" s="4">
        <v>21</v>
      </c>
    </row>
    <row r="11" spans="1:9" x14ac:dyDescent="0.2">
      <c r="A11" s="8">
        <v>46296</v>
      </c>
      <c r="B11" s="9">
        <v>0.5541666666666667</v>
      </c>
      <c r="C11" s="6">
        <v>6.3671879999999996</v>
      </c>
      <c r="D11" s="4">
        <v>842</v>
      </c>
      <c r="E11" s="4" t="s">
        <v>38</v>
      </c>
      <c r="F11" s="4" t="s">
        <v>38</v>
      </c>
      <c r="G11" s="4">
        <v>4112</v>
      </c>
    </row>
    <row r="12" spans="1:9" x14ac:dyDescent="0.2">
      <c r="A12" s="8">
        <v>46296</v>
      </c>
      <c r="B12" s="9">
        <v>0.55417824074074074</v>
      </c>
      <c r="C12" s="6">
        <v>6.8984379999999996</v>
      </c>
      <c r="D12" s="4">
        <v>841</v>
      </c>
      <c r="E12" s="4" t="s">
        <v>38</v>
      </c>
      <c r="F12" s="4" t="s">
        <v>38</v>
      </c>
      <c r="G12" s="4">
        <v>4112</v>
      </c>
    </row>
    <row r="13" spans="1:9" x14ac:dyDescent="0.2">
      <c r="A13" s="8">
        <v>46296</v>
      </c>
      <c r="B13" s="9">
        <v>0.55417824074074074</v>
      </c>
      <c r="C13" s="6">
        <v>7.4296879999999996</v>
      </c>
      <c r="D13" s="4">
        <v>841</v>
      </c>
      <c r="E13" s="4" t="s">
        <v>38</v>
      </c>
      <c r="F13" s="4" t="s">
        <v>38</v>
      </c>
      <c r="G13" s="4">
        <v>21</v>
      </c>
    </row>
    <row r="14" spans="1:9" x14ac:dyDescent="0.2">
      <c r="A14" s="8">
        <v>46296</v>
      </c>
      <c r="B14" s="9">
        <v>0.55418981481481477</v>
      </c>
      <c r="C14" s="6">
        <v>7.9609379999999996</v>
      </c>
      <c r="D14" s="4">
        <v>841</v>
      </c>
      <c r="E14" s="4" t="s">
        <v>38</v>
      </c>
      <c r="F14" s="10" t="s">
        <v>26</v>
      </c>
      <c r="G14" s="4">
        <v>4112</v>
      </c>
    </row>
    <row r="15" spans="1:9" x14ac:dyDescent="0.2">
      <c r="A15" s="8">
        <v>46296</v>
      </c>
      <c r="B15" s="9">
        <v>0.55418981481481477</v>
      </c>
      <c r="C15" s="6">
        <v>8.4765630000000005</v>
      </c>
      <c r="D15" s="4">
        <v>839</v>
      </c>
      <c r="E15" s="4" t="s">
        <v>38</v>
      </c>
      <c r="F15" s="4" t="s">
        <v>38</v>
      </c>
      <c r="G15" s="4">
        <v>4112</v>
      </c>
    </row>
    <row r="16" spans="1:9" x14ac:dyDescent="0.2">
      <c r="A16" s="8">
        <v>46296</v>
      </c>
      <c r="B16" s="9">
        <v>0.55420138888888892</v>
      </c>
      <c r="C16" s="6">
        <v>9.0117189999999994</v>
      </c>
      <c r="D16" s="4">
        <v>841</v>
      </c>
      <c r="E16" s="4" t="s">
        <v>39</v>
      </c>
      <c r="F16" s="10">
        <v>0.56999999999999995</v>
      </c>
      <c r="G16" s="4" t="s">
        <v>37</v>
      </c>
    </row>
    <row r="17" spans="1:7" x14ac:dyDescent="0.2">
      <c r="A17" s="8">
        <v>46296</v>
      </c>
      <c r="B17" s="9">
        <v>0.55420138888888892</v>
      </c>
      <c r="C17" s="6">
        <v>9.5351560000000006</v>
      </c>
      <c r="D17" s="4">
        <v>839</v>
      </c>
      <c r="E17" s="4" t="s">
        <v>35</v>
      </c>
      <c r="F17" s="4" t="s">
        <v>35</v>
      </c>
      <c r="G17" s="4" t="s">
        <v>35</v>
      </c>
    </row>
    <row r="18" spans="1:7" x14ac:dyDescent="0.2">
      <c r="A18" s="8">
        <v>46296</v>
      </c>
      <c r="B18" s="9">
        <v>0.55421296296296296</v>
      </c>
      <c r="C18" s="6">
        <v>10.035159999999999</v>
      </c>
      <c r="D18" s="4">
        <v>839</v>
      </c>
      <c r="E18" s="4" t="s">
        <v>35</v>
      </c>
      <c r="F18" s="4" t="s">
        <v>35</v>
      </c>
      <c r="G18" s="4" t="s">
        <v>35</v>
      </c>
    </row>
    <row r="19" spans="1:7" x14ac:dyDescent="0.2">
      <c r="A19" s="8">
        <v>46296</v>
      </c>
      <c r="B19" s="9">
        <v>0.55421296296296296</v>
      </c>
      <c r="C19" s="6">
        <v>10.535159999999999</v>
      </c>
      <c r="D19" s="4">
        <v>839</v>
      </c>
      <c r="E19" s="4" t="s">
        <v>35</v>
      </c>
      <c r="F19" s="10" t="s">
        <v>24</v>
      </c>
      <c r="G19" s="4" t="s">
        <v>35</v>
      </c>
    </row>
    <row r="20" spans="1:7" x14ac:dyDescent="0.2">
      <c r="A20" s="8">
        <v>46296</v>
      </c>
      <c r="B20" s="9">
        <v>0.554224537037037</v>
      </c>
      <c r="C20" s="6">
        <v>11.035159999999999</v>
      </c>
      <c r="D20" s="4">
        <v>839</v>
      </c>
      <c r="E20" s="4" t="s">
        <v>35</v>
      </c>
      <c r="F20" s="4" t="s">
        <v>35</v>
      </c>
      <c r="G20" s="4" t="s">
        <v>35</v>
      </c>
    </row>
    <row r="21" spans="1:7" x14ac:dyDescent="0.2">
      <c r="A21" s="8">
        <v>46296</v>
      </c>
      <c r="B21" s="9">
        <v>0.554224537037037</v>
      </c>
      <c r="C21" s="6">
        <v>11.55078</v>
      </c>
      <c r="D21" s="4">
        <v>838</v>
      </c>
      <c r="E21" s="4" t="s">
        <v>39</v>
      </c>
      <c r="F21" s="10">
        <v>0.56999999999999995</v>
      </c>
      <c r="G21" s="4" t="s">
        <v>37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295-B49D-48EB-AAF3-1179CE26C0BD}">
  <dimension ref="A1:I22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46296</v>
      </c>
      <c r="B2" s="9">
        <v>0.55648148148148147</v>
      </c>
      <c r="C2" s="6">
        <v>1.8046880000000001</v>
      </c>
      <c r="D2" s="4">
        <v>820</v>
      </c>
      <c r="E2" s="4" t="s">
        <v>35</v>
      </c>
      <c r="F2" s="4" t="s">
        <v>35</v>
      </c>
      <c r="G2" s="4" t="s">
        <v>35</v>
      </c>
      <c r="I2">
        <f>AVERAGE(D2:D21)</f>
        <v>820.85</v>
      </c>
    </row>
    <row r="3" spans="1:9" x14ac:dyDescent="0.2">
      <c r="A3" s="8">
        <v>46296</v>
      </c>
      <c r="B3" s="9">
        <v>0.55648148148148147</v>
      </c>
      <c r="C3" s="6">
        <v>2.2851560000000002</v>
      </c>
      <c r="D3" s="4">
        <v>820</v>
      </c>
      <c r="E3" s="4" t="s">
        <v>35</v>
      </c>
      <c r="F3" s="4" t="s">
        <v>35</v>
      </c>
      <c r="G3" s="4" t="s">
        <v>35</v>
      </c>
      <c r="I3">
        <f>91*(1023-I2)/I2</f>
        <v>22.410489127124318</v>
      </c>
    </row>
    <row r="4" spans="1:9" x14ac:dyDescent="0.2">
      <c r="A4" s="8">
        <v>46296</v>
      </c>
      <c r="B4" s="9">
        <v>0.5564930555555555</v>
      </c>
      <c r="C4" s="6">
        <v>2.7851560000000002</v>
      </c>
      <c r="D4" s="4">
        <v>823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46296</v>
      </c>
      <c r="B5" s="9">
        <v>0.5564930555555555</v>
      </c>
      <c r="C5" s="6">
        <v>3.3085939999999998</v>
      </c>
      <c r="D5" s="4">
        <v>822</v>
      </c>
      <c r="E5" s="4" t="s">
        <v>39</v>
      </c>
      <c r="F5" s="10">
        <v>0.56000000000000005</v>
      </c>
      <c r="G5" s="4" t="s">
        <v>37</v>
      </c>
    </row>
    <row r="6" spans="1:9" x14ac:dyDescent="0.2">
      <c r="A6" s="8">
        <v>46296</v>
      </c>
      <c r="B6" s="9">
        <v>0.55650462962962965</v>
      </c>
      <c r="C6" s="6">
        <v>3.8320310000000002</v>
      </c>
      <c r="D6" s="4">
        <v>821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46296</v>
      </c>
      <c r="B7" s="9">
        <v>0.55650462962962965</v>
      </c>
      <c r="C7" s="6">
        <v>4.3320309999999997</v>
      </c>
      <c r="D7" s="4">
        <v>822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46296</v>
      </c>
      <c r="B8" s="9">
        <v>0.55651620370370369</v>
      </c>
      <c r="C8" s="6">
        <v>4.828125</v>
      </c>
      <c r="D8" s="4">
        <v>820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46296</v>
      </c>
      <c r="B9" s="9">
        <v>0.55651620370370369</v>
      </c>
      <c r="C9" s="6">
        <v>5.328125</v>
      </c>
      <c r="D9" s="4">
        <v>820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46296</v>
      </c>
      <c r="B10" s="9">
        <v>0.55652777777777773</v>
      </c>
      <c r="C10" s="6">
        <v>5.8515629999999996</v>
      </c>
      <c r="D10" s="4">
        <v>820</v>
      </c>
      <c r="E10" s="4" t="s">
        <v>39</v>
      </c>
      <c r="F10" s="10">
        <v>0.56000000000000005</v>
      </c>
      <c r="G10" s="4" t="s">
        <v>37</v>
      </c>
    </row>
    <row r="11" spans="1:9" x14ac:dyDescent="0.2">
      <c r="A11" s="8">
        <v>46296</v>
      </c>
      <c r="B11" s="9">
        <v>0.55652777777777773</v>
      </c>
      <c r="C11" s="6">
        <v>6.375</v>
      </c>
      <c r="D11" s="4">
        <v>821</v>
      </c>
      <c r="E11" s="4" t="s">
        <v>35</v>
      </c>
      <c r="F11" s="4" t="s">
        <v>35</v>
      </c>
      <c r="G11" s="4" t="s">
        <v>35</v>
      </c>
    </row>
    <row r="12" spans="1:9" x14ac:dyDescent="0.2">
      <c r="A12" s="8">
        <v>46296</v>
      </c>
      <c r="B12" s="9">
        <v>0.55653935185185188</v>
      </c>
      <c r="C12" s="6">
        <v>6.8710940000000003</v>
      </c>
      <c r="D12" s="4">
        <v>819</v>
      </c>
      <c r="E12" s="4" t="s">
        <v>35</v>
      </c>
      <c r="F12" s="4" t="s">
        <v>35</v>
      </c>
      <c r="G12" s="4" t="s">
        <v>35</v>
      </c>
    </row>
    <row r="13" spans="1:9" x14ac:dyDescent="0.2">
      <c r="A13" s="8">
        <v>46296</v>
      </c>
      <c r="B13" s="9">
        <v>0.55653935185185188</v>
      </c>
      <c r="C13" s="6">
        <v>7.3710940000000003</v>
      </c>
      <c r="D13" s="4">
        <v>820</v>
      </c>
      <c r="E13" s="4" t="s">
        <v>35</v>
      </c>
      <c r="F13" s="4" t="s">
        <v>35</v>
      </c>
      <c r="G13" s="4" t="s">
        <v>35</v>
      </c>
    </row>
    <row r="14" spans="1:9" x14ac:dyDescent="0.2">
      <c r="A14" s="8">
        <v>46296</v>
      </c>
      <c r="B14" s="9">
        <v>0.55655092592592592</v>
      </c>
      <c r="C14" s="6">
        <v>7.875</v>
      </c>
      <c r="D14" s="4">
        <v>822</v>
      </c>
      <c r="E14" s="4" t="s">
        <v>35</v>
      </c>
      <c r="F14" s="4" t="s">
        <v>35</v>
      </c>
      <c r="G14" s="4" t="s">
        <v>35</v>
      </c>
    </row>
    <row r="15" spans="1:9" x14ac:dyDescent="0.2">
      <c r="A15" s="8">
        <v>46296</v>
      </c>
      <c r="B15" s="9">
        <v>0.55655092592592592</v>
      </c>
      <c r="C15" s="6">
        <v>8.3945310000000006</v>
      </c>
      <c r="D15" s="4">
        <v>822</v>
      </c>
      <c r="E15" s="4" t="s">
        <v>39</v>
      </c>
      <c r="F15" s="10">
        <v>0.56000000000000005</v>
      </c>
      <c r="G15" s="4" t="s">
        <v>37</v>
      </c>
    </row>
    <row r="16" spans="1:9" x14ac:dyDescent="0.2">
      <c r="A16" s="8">
        <v>46296</v>
      </c>
      <c r="B16" s="9">
        <v>0.55656249999999996</v>
      </c>
      <c r="C16" s="6">
        <v>8.9101560000000006</v>
      </c>
      <c r="D16" s="4">
        <v>822</v>
      </c>
      <c r="E16" s="4" t="s">
        <v>35</v>
      </c>
      <c r="F16" s="4" t="s">
        <v>35</v>
      </c>
      <c r="G16" s="4" t="s">
        <v>35</v>
      </c>
    </row>
    <row r="17" spans="1:7" x14ac:dyDescent="0.2">
      <c r="A17" s="8">
        <v>46296</v>
      </c>
      <c r="B17" s="9">
        <v>0.55656249999999996</v>
      </c>
      <c r="C17" s="6">
        <v>9.4101560000000006</v>
      </c>
      <c r="D17" s="4">
        <v>819</v>
      </c>
      <c r="E17" s="4" t="s">
        <v>35</v>
      </c>
      <c r="F17" s="4" t="s">
        <v>35</v>
      </c>
      <c r="G17" s="4" t="s">
        <v>35</v>
      </c>
    </row>
    <row r="18" spans="1:7" x14ac:dyDescent="0.2">
      <c r="A18" s="8">
        <v>46296</v>
      </c>
      <c r="B18" s="9">
        <v>0.55657407407407411</v>
      </c>
      <c r="C18" s="6">
        <v>9.9101560000000006</v>
      </c>
      <c r="D18" s="4">
        <v>822</v>
      </c>
      <c r="E18" s="4" t="s">
        <v>35</v>
      </c>
      <c r="F18" s="4" t="s">
        <v>35</v>
      </c>
      <c r="G18" s="4" t="s">
        <v>35</v>
      </c>
    </row>
    <row r="19" spans="1:7" x14ac:dyDescent="0.2">
      <c r="A19" s="8">
        <v>46296</v>
      </c>
      <c r="B19" s="9">
        <v>0.55657407407407411</v>
      </c>
      <c r="C19" s="6">
        <v>10.410159999999999</v>
      </c>
      <c r="D19" s="4">
        <v>821</v>
      </c>
      <c r="E19" s="4" t="s">
        <v>35</v>
      </c>
      <c r="F19" s="4" t="s">
        <v>35</v>
      </c>
      <c r="G19" s="4" t="s">
        <v>35</v>
      </c>
    </row>
    <row r="20" spans="1:7" x14ac:dyDescent="0.2">
      <c r="A20" s="8">
        <v>46296</v>
      </c>
      <c r="B20" s="9">
        <v>0.55658564814814815</v>
      </c>
      <c r="C20" s="6">
        <v>10.92578</v>
      </c>
      <c r="D20" s="4">
        <v>821</v>
      </c>
      <c r="E20" s="4" t="s">
        <v>39</v>
      </c>
      <c r="F20" s="10">
        <v>0.56000000000000005</v>
      </c>
      <c r="G20" s="4" t="s">
        <v>25</v>
      </c>
    </row>
    <row r="21" spans="1:7" x14ac:dyDescent="0.2">
      <c r="A21" s="8">
        <v>46296</v>
      </c>
      <c r="B21" s="9">
        <v>0.55658564814814815</v>
      </c>
      <c r="C21" s="6">
        <v>11.45703</v>
      </c>
      <c r="D21" s="4">
        <v>820</v>
      </c>
      <c r="E21" s="4" t="s">
        <v>35</v>
      </c>
      <c r="F21" s="4" t="s">
        <v>35</v>
      </c>
      <c r="G21" s="4" t="s">
        <v>24</v>
      </c>
    </row>
    <row r="22" spans="1:7" x14ac:dyDescent="0.2">
      <c r="A22" s="8">
        <v>46296</v>
      </c>
      <c r="B22" s="9">
        <v>0.55659722222222219</v>
      </c>
      <c r="C22" s="6">
        <v>11.95703</v>
      </c>
      <c r="D22" s="4">
        <v>822</v>
      </c>
      <c r="E22" s="4" t="s">
        <v>24</v>
      </c>
      <c r="F22" s="4" t="s">
        <v>24</v>
      </c>
      <c r="G22" s="4" t="s">
        <v>24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1514E-CA92-45EC-9F7F-3990B108C1D8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46296</v>
      </c>
      <c r="B2" s="9">
        <v>0.55800925925925926</v>
      </c>
      <c r="C2" s="6">
        <v>1.7890630000000001</v>
      </c>
      <c r="D2" s="4">
        <v>849</v>
      </c>
      <c r="E2" s="4" t="s">
        <v>35</v>
      </c>
      <c r="F2" s="4" t="s">
        <v>35</v>
      </c>
      <c r="G2" s="4" t="s">
        <v>35</v>
      </c>
      <c r="I2">
        <f>AVERAGE(D2:D21)</f>
        <v>842.9</v>
      </c>
    </row>
    <row r="3" spans="1:9" x14ac:dyDescent="0.2">
      <c r="A3" s="8">
        <v>46296</v>
      </c>
      <c r="B3" s="9">
        <v>0.55800925925925926</v>
      </c>
      <c r="C3" s="6">
        <v>2.2734380000000001</v>
      </c>
      <c r="D3" s="4">
        <v>847</v>
      </c>
      <c r="E3" s="4" t="s">
        <v>35</v>
      </c>
      <c r="F3" s="4" t="s">
        <v>35</v>
      </c>
      <c r="G3" s="4" t="s">
        <v>35</v>
      </c>
      <c r="I3">
        <f>91*(1023-I2)/I2</f>
        <v>19.443706252224466</v>
      </c>
    </row>
    <row r="4" spans="1:9" x14ac:dyDescent="0.2">
      <c r="A4" s="8">
        <v>46296</v>
      </c>
      <c r="B4" s="9">
        <v>0.5580208333333333</v>
      </c>
      <c r="C4" s="6">
        <v>2.765625</v>
      </c>
      <c r="D4" s="4">
        <v>847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46296</v>
      </c>
      <c r="B5" s="9">
        <v>0.55803240740740745</v>
      </c>
      <c r="C5" s="6">
        <v>3.7929689999999998</v>
      </c>
      <c r="D5" s="4">
        <v>846</v>
      </c>
      <c r="E5" s="4" t="s">
        <v>38</v>
      </c>
      <c r="F5" s="10" t="s">
        <v>26</v>
      </c>
      <c r="G5" s="4">
        <v>-237</v>
      </c>
    </row>
    <row r="6" spans="1:9" x14ac:dyDescent="0.2">
      <c r="A6" s="8">
        <v>46296</v>
      </c>
      <c r="B6" s="9">
        <v>0.55803240740740745</v>
      </c>
      <c r="C6" s="6">
        <v>4.3242190000000003</v>
      </c>
      <c r="D6" s="4">
        <v>846</v>
      </c>
      <c r="E6" s="4" t="s">
        <v>38</v>
      </c>
      <c r="F6" s="4" t="s">
        <v>38</v>
      </c>
      <c r="G6" s="4">
        <v>4112</v>
      </c>
    </row>
    <row r="7" spans="1:9" x14ac:dyDescent="0.2">
      <c r="A7" s="8">
        <v>46296</v>
      </c>
      <c r="B7" s="9">
        <v>0.55804398148148149</v>
      </c>
      <c r="C7" s="6">
        <v>4.8476559999999997</v>
      </c>
      <c r="D7" s="4">
        <v>845</v>
      </c>
      <c r="E7" s="4" t="s">
        <v>39</v>
      </c>
      <c r="F7" s="10">
        <v>0.55000000000000004</v>
      </c>
      <c r="G7" s="4" t="s">
        <v>37</v>
      </c>
    </row>
    <row r="8" spans="1:9" x14ac:dyDescent="0.2">
      <c r="A8" s="8">
        <v>46296</v>
      </c>
      <c r="B8" s="9">
        <v>0.55804398148148149</v>
      </c>
      <c r="C8" s="6">
        <v>5.3710940000000003</v>
      </c>
      <c r="D8" s="4">
        <v>844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46296</v>
      </c>
      <c r="B9" s="9">
        <v>0.55805555555555553</v>
      </c>
      <c r="C9" s="6">
        <v>5.8710940000000003</v>
      </c>
      <c r="D9" s="4">
        <v>843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46296</v>
      </c>
      <c r="B10" s="9">
        <v>0.55805555555555553</v>
      </c>
      <c r="C10" s="6">
        <v>6.3710940000000003</v>
      </c>
      <c r="D10" s="4">
        <v>844</v>
      </c>
      <c r="E10" s="4" t="s">
        <v>35</v>
      </c>
      <c r="F10" s="10" t="s">
        <v>24</v>
      </c>
      <c r="G10" s="4" t="s">
        <v>35</v>
      </c>
    </row>
    <row r="11" spans="1:9" x14ac:dyDescent="0.2">
      <c r="A11" s="8">
        <v>46296</v>
      </c>
      <c r="B11" s="9">
        <v>0.55806712962962968</v>
      </c>
      <c r="C11" s="6">
        <v>6.8710940000000003</v>
      </c>
      <c r="D11" s="4">
        <v>843</v>
      </c>
      <c r="E11" s="4" t="s">
        <v>35</v>
      </c>
      <c r="F11" s="4" t="s">
        <v>35</v>
      </c>
      <c r="G11" s="4" t="s">
        <v>35</v>
      </c>
    </row>
    <row r="12" spans="1:9" x14ac:dyDescent="0.2">
      <c r="A12" s="8">
        <v>46296</v>
      </c>
      <c r="B12" s="9">
        <v>0.55807870370370372</v>
      </c>
      <c r="C12" s="6">
        <v>7.9023440000000003</v>
      </c>
      <c r="D12" s="4">
        <v>841</v>
      </c>
      <c r="E12" s="4" t="s">
        <v>38</v>
      </c>
      <c r="F12" s="4" t="s">
        <v>38</v>
      </c>
      <c r="G12" s="4">
        <v>-237</v>
      </c>
    </row>
    <row r="13" spans="1:9" x14ac:dyDescent="0.2">
      <c r="A13" s="8">
        <v>46296</v>
      </c>
      <c r="B13" s="9">
        <v>0.55807870370370372</v>
      </c>
      <c r="C13" s="6">
        <v>8.4179689999999994</v>
      </c>
      <c r="D13" s="4">
        <v>841</v>
      </c>
      <c r="E13" s="4" t="s">
        <v>38</v>
      </c>
      <c r="F13" s="4" t="s">
        <v>38</v>
      </c>
      <c r="G13" s="4">
        <v>4112</v>
      </c>
    </row>
    <row r="14" spans="1:9" x14ac:dyDescent="0.2">
      <c r="A14" s="8">
        <v>46296</v>
      </c>
      <c r="B14" s="9">
        <v>0.55809027777777775</v>
      </c>
      <c r="C14" s="6">
        <v>8.9492189999999994</v>
      </c>
      <c r="D14" s="4">
        <v>841</v>
      </c>
      <c r="E14" s="4" t="s">
        <v>39</v>
      </c>
      <c r="F14" s="10">
        <v>0.55000000000000004</v>
      </c>
      <c r="G14" s="4" t="s">
        <v>37</v>
      </c>
    </row>
    <row r="15" spans="1:9" x14ac:dyDescent="0.2">
      <c r="A15" s="8">
        <v>46296</v>
      </c>
      <c r="B15" s="9">
        <v>0.55809027777777775</v>
      </c>
      <c r="C15" s="6">
        <v>9.4804689999999994</v>
      </c>
      <c r="D15" s="4">
        <v>842</v>
      </c>
      <c r="E15" s="4" t="s">
        <v>35</v>
      </c>
      <c r="F15" s="10" t="s">
        <v>24</v>
      </c>
      <c r="G15" s="4" t="s">
        <v>35</v>
      </c>
    </row>
    <row r="16" spans="1:9" x14ac:dyDescent="0.2">
      <c r="A16" s="8">
        <v>46296</v>
      </c>
      <c r="B16" s="9">
        <v>0.5581018518518519</v>
      </c>
      <c r="C16" s="6">
        <v>9.9804689999999994</v>
      </c>
      <c r="D16" s="4">
        <v>839</v>
      </c>
      <c r="E16" s="4" t="s">
        <v>35</v>
      </c>
      <c r="F16" s="4" t="s">
        <v>35</v>
      </c>
      <c r="G16" s="4" t="s">
        <v>35</v>
      </c>
    </row>
    <row r="17" spans="1:7" x14ac:dyDescent="0.2">
      <c r="A17" s="8">
        <v>46296</v>
      </c>
      <c r="B17" s="9">
        <v>0.5581018518518519</v>
      </c>
      <c r="C17" s="6">
        <v>10.48047</v>
      </c>
      <c r="D17" s="4">
        <v>840</v>
      </c>
      <c r="E17" s="4" t="s">
        <v>35</v>
      </c>
      <c r="F17" s="4" t="s">
        <v>35</v>
      </c>
      <c r="G17" s="4" t="s">
        <v>35</v>
      </c>
    </row>
    <row r="18" spans="1:7" x14ac:dyDescent="0.2">
      <c r="A18" s="8">
        <v>46296</v>
      </c>
      <c r="B18" s="9">
        <v>0.55811342592592594</v>
      </c>
      <c r="C18" s="6">
        <v>10.98047</v>
      </c>
      <c r="D18" s="4">
        <v>840</v>
      </c>
      <c r="E18" s="4" t="s">
        <v>35</v>
      </c>
      <c r="F18" s="4" t="s">
        <v>35</v>
      </c>
      <c r="G18" s="4" t="s">
        <v>35</v>
      </c>
    </row>
    <row r="19" spans="1:7" x14ac:dyDescent="0.2">
      <c r="A19" s="8">
        <v>46296</v>
      </c>
      <c r="B19" s="9">
        <v>0.55811342592592594</v>
      </c>
      <c r="C19" s="6">
        <v>11.496090000000001</v>
      </c>
      <c r="D19" s="4">
        <v>840</v>
      </c>
      <c r="E19" s="4" t="s">
        <v>38</v>
      </c>
      <c r="F19" s="4" t="s">
        <v>38</v>
      </c>
      <c r="G19" s="4">
        <v>21</v>
      </c>
    </row>
    <row r="20" spans="1:7" x14ac:dyDescent="0.2">
      <c r="A20" s="8">
        <v>46296</v>
      </c>
      <c r="B20" s="9">
        <v>0.55812499999999998</v>
      </c>
      <c r="C20" s="6">
        <v>12.027340000000001</v>
      </c>
      <c r="D20" s="4">
        <v>840</v>
      </c>
      <c r="E20" s="4" t="s">
        <v>38</v>
      </c>
      <c r="F20" s="10" t="s">
        <v>26</v>
      </c>
      <c r="G20" s="4">
        <v>4112</v>
      </c>
    </row>
    <row r="21" spans="1:7" x14ac:dyDescent="0.2">
      <c r="A21" s="8">
        <v>46296</v>
      </c>
      <c r="B21" s="9">
        <v>0.55812499999999998</v>
      </c>
      <c r="C21" s="6">
        <v>12.54297</v>
      </c>
      <c r="D21" s="4">
        <v>840</v>
      </c>
      <c r="E21" s="4" t="s">
        <v>38</v>
      </c>
      <c r="F21" s="4" t="s">
        <v>38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0B64-2258-417B-A1B6-426EE5A53C0B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46296</v>
      </c>
      <c r="B2" s="9">
        <v>0.55924768518518519</v>
      </c>
      <c r="C2" s="6">
        <v>1.8046880000000001</v>
      </c>
      <c r="D2" s="4">
        <v>797</v>
      </c>
      <c r="E2" s="4" t="s">
        <v>35</v>
      </c>
      <c r="F2" s="4" t="s">
        <v>35</v>
      </c>
      <c r="G2" s="4" t="s">
        <v>35</v>
      </c>
      <c r="I2">
        <f>AVERAGE(D2:D21)</f>
        <v>794.65</v>
      </c>
    </row>
    <row r="3" spans="1:9" x14ac:dyDescent="0.2">
      <c r="A3" s="8">
        <v>46296</v>
      </c>
      <c r="B3" s="9">
        <v>0.55924768518518519</v>
      </c>
      <c r="C3" s="6">
        <v>2.2890630000000001</v>
      </c>
      <c r="D3" s="4">
        <v>796</v>
      </c>
      <c r="E3" s="4" t="s">
        <v>35</v>
      </c>
      <c r="F3" s="4" t="s">
        <v>35</v>
      </c>
      <c r="G3" s="4" t="s">
        <v>35</v>
      </c>
      <c r="I3">
        <f>91*(1023-I2)/I2</f>
        <v>26.149688542125467</v>
      </c>
    </row>
    <row r="4" spans="1:9" x14ac:dyDescent="0.2">
      <c r="A4" s="8">
        <v>46296</v>
      </c>
      <c r="B4" s="9">
        <v>0.55925925925925923</v>
      </c>
      <c r="C4" s="6">
        <v>2.7890630000000001</v>
      </c>
      <c r="D4" s="4">
        <v>795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46296</v>
      </c>
      <c r="B5" s="9">
        <v>0.55925925925925923</v>
      </c>
      <c r="C5" s="6">
        <v>3.3007810000000002</v>
      </c>
      <c r="D5" s="4">
        <v>795</v>
      </c>
      <c r="E5" s="4" t="s">
        <v>39</v>
      </c>
      <c r="F5" s="10">
        <v>0.55000000000000004</v>
      </c>
      <c r="G5" s="4" t="s">
        <v>37</v>
      </c>
    </row>
    <row r="6" spans="1:9" x14ac:dyDescent="0.2">
      <c r="A6" s="8">
        <v>46296</v>
      </c>
      <c r="B6" s="9">
        <v>0.55927083333333338</v>
      </c>
      <c r="C6" s="6">
        <v>3.8203130000000001</v>
      </c>
      <c r="D6" s="4">
        <v>797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46296</v>
      </c>
      <c r="B7" s="9">
        <v>0.55927083333333338</v>
      </c>
      <c r="C7" s="6">
        <v>4.3203129999999996</v>
      </c>
      <c r="D7" s="4">
        <v>795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46296</v>
      </c>
      <c r="B8" s="9">
        <v>0.55928240740740742</v>
      </c>
      <c r="C8" s="6">
        <v>4.8203129999999996</v>
      </c>
      <c r="D8" s="4">
        <v>795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46296</v>
      </c>
      <c r="B9" s="9">
        <v>0.55928240740740742</v>
      </c>
      <c r="C9" s="6">
        <v>5.3203129999999996</v>
      </c>
      <c r="D9" s="4">
        <v>796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46296</v>
      </c>
      <c r="B10" s="9">
        <v>0.55929398148148146</v>
      </c>
      <c r="C10" s="6">
        <v>5.8476559999999997</v>
      </c>
      <c r="D10" s="4">
        <v>796</v>
      </c>
      <c r="E10" s="4" t="s">
        <v>39</v>
      </c>
      <c r="F10" s="10">
        <v>0.55000000000000004</v>
      </c>
      <c r="G10" s="4" t="s">
        <v>37</v>
      </c>
    </row>
    <row r="11" spans="1:9" x14ac:dyDescent="0.2">
      <c r="A11" s="8">
        <v>46296</v>
      </c>
      <c r="B11" s="9">
        <v>0.55929398148148146</v>
      </c>
      <c r="C11" s="6">
        <v>6.3632809999999997</v>
      </c>
      <c r="D11" s="4">
        <v>794</v>
      </c>
      <c r="E11" s="4" t="s">
        <v>35</v>
      </c>
      <c r="F11" s="4" t="s">
        <v>35</v>
      </c>
      <c r="G11" s="4" t="s">
        <v>35</v>
      </c>
    </row>
    <row r="12" spans="1:9" x14ac:dyDescent="0.2">
      <c r="A12" s="8">
        <v>46296</v>
      </c>
      <c r="B12" s="9">
        <v>0.5593055555555555</v>
      </c>
      <c r="C12" s="6">
        <v>6.8632809999999997</v>
      </c>
      <c r="D12" s="4">
        <v>792</v>
      </c>
      <c r="E12" s="4" t="s">
        <v>35</v>
      </c>
      <c r="F12" s="4" t="s">
        <v>35</v>
      </c>
      <c r="G12" s="4" t="s">
        <v>35</v>
      </c>
    </row>
    <row r="13" spans="1:9" x14ac:dyDescent="0.2">
      <c r="A13" s="8">
        <v>46296</v>
      </c>
      <c r="B13" s="9">
        <v>0.5593055555555555</v>
      </c>
      <c r="C13" s="6">
        <v>7.3632809999999997</v>
      </c>
      <c r="D13" s="4">
        <v>793</v>
      </c>
      <c r="E13" s="4" t="s">
        <v>35</v>
      </c>
      <c r="F13" s="4" t="s">
        <v>35</v>
      </c>
      <c r="G13" s="4" t="s">
        <v>35</v>
      </c>
    </row>
    <row r="14" spans="1:9" x14ac:dyDescent="0.2">
      <c r="A14" s="8">
        <v>46296</v>
      </c>
      <c r="B14" s="9">
        <v>0.55931712962962965</v>
      </c>
      <c r="C14" s="6">
        <v>7.8632809999999997</v>
      </c>
      <c r="D14" s="4">
        <v>797</v>
      </c>
      <c r="E14" s="4" t="s">
        <v>35</v>
      </c>
      <c r="F14" s="4" t="s">
        <v>35</v>
      </c>
      <c r="G14" s="4" t="s">
        <v>35</v>
      </c>
    </row>
    <row r="15" spans="1:9" x14ac:dyDescent="0.2">
      <c r="A15" s="8">
        <v>46296</v>
      </c>
      <c r="B15" s="9">
        <v>0.55931712962962965</v>
      </c>
      <c r="C15" s="6">
        <v>8.3867189999999994</v>
      </c>
      <c r="D15" s="4">
        <v>794</v>
      </c>
      <c r="E15" s="4" t="s">
        <v>39</v>
      </c>
      <c r="F15" s="10">
        <v>0.55000000000000004</v>
      </c>
      <c r="G15" s="4" t="s">
        <v>37</v>
      </c>
    </row>
    <row r="16" spans="1:9" x14ac:dyDescent="0.2">
      <c r="A16" s="8">
        <v>46296</v>
      </c>
      <c r="B16" s="9">
        <v>0.55932870370370369</v>
      </c>
      <c r="C16" s="6">
        <v>8.9023439999999994</v>
      </c>
      <c r="D16" s="4">
        <v>793</v>
      </c>
      <c r="E16" s="4" t="s">
        <v>35</v>
      </c>
      <c r="F16" s="4" t="s">
        <v>35</v>
      </c>
      <c r="G16" s="4" t="s">
        <v>35</v>
      </c>
    </row>
    <row r="17" spans="1:7" x14ac:dyDescent="0.2">
      <c r="A17" s="8">
        <v>46296</v>
      </c>
      <c r="B17" s="9">
        <v>0.55932870370370369</v>
      </c>
      <c r="C17" s="6">
        <v>9.4179689999999994</v>
      </c>
      <c r="D17" s="4">
        <v>793</v>
      </c>
      <c r="E17" s="4" t="s">
        <v>35</v>
      </c>
      <c r="F17" s="4" t="s">
        <v>35</v>
      </c>
      <c r="G17" s="4" t="s">
        <v>35</v>
      </c>
    </row>
    <row r="18" spans="1:7" x14ac:dyDescent="0.2">
      <c r="A18" s="8">
        <v>46296</v>
      </c>
      <c r="B18" s="9">
        <v>0.55934027777777773</v>
      </c>
      <c r="C18" s="6">
        <v>9.9179689999999994</v>
      </c>
      <c r="D18" s="4">
        <v>794</v>
      </c>
      <c r="E18" s="4" t="s">
        <v>35</v>
      </c>
      <c r="F18" s="4" t="s">
        <v>35</v>
      </c>
      <c r="G18" s="4" t="s">
        <v>35</v>
      </c>
    </row>
    <row r="19" spans="1:7" x14ac:dyDescent="0.2">
      <c r="A19" s="8">
        <v>46296</v>
      </c>
      <c r="B19" s="9">
        <v>0.55934027777777773</v>
      </c>
      <c r="C19" s="6">
        <v>10.41797</v>
      </c>
      <c r="D19" s="4">
        <v>794</v>
      </c>
      <c r="E19" s="4" t="s">
        <v>35</v>
      </c>
      <c r="F19" s="4" t="s">
        <v>35</v>
      </c>
      <c r="G19" s="4" t="s">
        <v>35</v>
      </c>
    </row>
    <row r="20" spans="1:7" x14ac:dyDescent="0.2">
      <c r="A20" s="8">
        <v>46296</v>
      </c>
      <c r="B20" s="9">
        <v>0.55935185185185188</v>
      </c>
      <c r="C20" s="6">
        <v>11.433590000000001</v>
      </c>
      <c r="D20" s="4">
        <v>793</v>
      </c>
      <c r="E20" s="4" t="s">
        <v>38</v>
      </c>
      <c r="F20" s="4" t="s">
        <v>38</v>
      </c>
      <c r="G20" s="4">
        <v>-237</v>
      </c>
    </row>
    <row r="21" spans="1:7" x14ac:dyDescent="0.2">
      <c r="A21" s="8">
        <v>46296</v>
      </c>
      <c r="B21" s="9">
        <v>0.55936342592592592</v>
      </c>
      <c r="C21" s="6">
        <v>11.964840000000001</v>
      </c>
      <c r="D21" s="4">
        <v>794</v>
      </c>
      <c r="E21" s="4" t="s">
        <v>38</v>
      </c>
      <c r="F21" s="4" t="s">
        <v>38</v>
      </c>
      <c r="G21" s="4">
        <v>3088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734B2-DF5E-41E2-8EB8-F3FCEFA33607}">
  <dimension ref="A1:I108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46296</v>
      </c>
      <c r="B2" s="9">
        <v>0.56185185185185182</v>
      </c>
      <c r="C2" s="6">
        <v>1.8125</v>
      </c>
      <c r="D2" s="4">
        <v>774</v>
      </c>
      <c r="E2" s="4" t="s">
        <v>35</v>
      </c>
      <c r="F2" s="4" t="s">
        <v>35</v>
      </c>
      <c r="G2" s="4" t="s">
        <v>35</v>
      </c>
      <c r="I2">
        <f>AVERAGE(D2:D21)</f>
        <v>775.15</v>
      </c>
    </row>
    <row r="3" spans="1:9" x14ac:dyDescent="0.2">
      <c r="A3" s="8">
        <v>46296</v>
      </c>
      <c r="B3" s="9">
        <v>0.56185185185185182</v>
      </c>
      <c r="C3" s="6">
        <v>2.28125</v>
      </c>
      <c r="D3" s="4">
        <v>774</v>
      </c>
      <c r="E3" s="4" t="s">
        <v>35</v>
      </c>
      <c r="F3" s="4" t="s">
        <v>35</v>
      </c>
      <c r="G3" s="4" t="s">
        <v>35</v>
      </c>
      <c r="I3">
        <f>91*(1023-I2)/I2</f>
        <v>29.09675546668387</v>
      </c>
    </row>
    <row r="4" spans="1:9" x14ac:dyDescent="0.2">
      <c r="A4" s="8">
        <v>46296</v>
      </c>
      <c r="B4" s="9">
        <v>0.56186342592592597</v>
      </c>
      <c r="C4" s="6">
        <v>2.78125</v>
      </c>
      <c r="D4" s="4">
        <v>773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46296</v>
      </c>
      <c r="B5" s="9">
        <v>0.56186342592592597</v>
      </c>
      <c r="C5" s="6">
        <v>3.296875</v>
      </c>
      <c r="D5" s="4">
        <v>776</v>
      </c>
      <c r="E5" s="4" t="s">
        <v>39</v>
      </c>
      <c r="F5" s="10">
        <v>0.54</v>
      </c>
      <c r="G5" s="4" t="s">
        <v>37</v>
      </c>
    </row>
    <row r="6" spans="1:9" x14ac:dyDescent="0.2">
      <c r="A6" s="8">
        <v>46296</v>
      </c>
      <c r="B6" s="9">
        <v>0.56187500000000001</v>
      </c>
      <c r="C6" s="6">
        <v>3.828125</v>
      </c>
      <c r="D6" s="4">
        <v>773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46296</v>
      </c>
      <c r="B7" s="9">
        <v>0.56187500000000001</v>
      </c>
      <c r="C7" s="6">
        <v>4.328125</v>
      </c>
      <c r="D7" s="4">
        <v>774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46296</v>
      </c>
      <c r="B8" s="9">
        <v>0.56188657407407405</v>
      </c>
      <c r="C8" s="6">
        <v>4.828125</v>
      </c>
      <c r="D8" s="4">
        <v>773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46296</v>
      </c>
      <c r="B9" s="9">
        <v>0.56188657407407405</v>
      </c>
      <c r="C9" s="6">
        <v>5.328125</v>
      </c>
      <c r="D9" s="4">
        <v>776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46296</v>
      </c>
      <c r="B10" s="9">
        <v>0.5618981481481482</v>
      </c>
      <c r="C10" s="6">
        <v>5.84375</v>
      </c>
      <c r="D10" s="4">
        <v>774</v>
      </c>
      <c r="E10" s="4" t="s">
        <v>39</v>
      </c>
      <c r="F10" s="10">
        <v>0.54</v>
      </c>
      <c r="G10" s="4" t="s">
        <v>25</v>
      </c>
    </row>
    <row r="11" spans="1:9" x14ac:dyDescent="0.2">
      <c r="A11" s="8">
        <v>46296</v>
      </c>
      <c r="B11" s="9">
        <v>0.56190972222222224</v>
      </c>
      <c r="C11" s="6">
        <v>6.375</v>
      </c>
      <c r="D11" s="4">
        <v>774</v>
      </c>
      <c r="E11" s="4" t="s">
        <v>35</v>
      </c>
      <c r="F11" s="4" t="s">
        <v>35</v>
      </c>
      <c r="G11" s="4" t="s">
        <v>24</v>
      </c>
    </row>
    <row r="12" spans="1:9" x14ac:dyDescent="0.2">
      <c r="A12" s="8">
        <v>46296</v>
      </c>
      <c r="B12" s="9">
        <v>0.56190972222222224</v>
      </c>
      <c r="C12" s="6">
        <v>6.875</v>
      </c>
      <c r="D12" s="4">
        <v>776</v>
      </c>
      <c r="E12" s="4" t="s">
        <v>35</v>
      </c>
      <c r="F12" s="4" t="s">
        <v>35</v>
      </c>
      <c r="G12" s="4" t="s">
        <v>24</v>
      </c>
    </row>
    <row r="13" spans="1:9" x14ac:dyDescent="0.2">
      <c r="A13" s="8">
        <v>46296</v>
      </c>
      <c r="B13" s="9">
        <v>0.56192129629629628</v>
      </c>
      <c r="C13" s="6">
        <v>7.375</v>
      </c>
      <c r="D13" s="4">
        <v>776</v>
      </c>
      <c r="E13" s="4" t="s">
        <v>35</v>
      </c>
      <c r="F13" s="4" t="s">
        <v>35</v>
      </c>
      <c r="G13" s="4" t="s">
        <v>24</v>
      </c>
    </row>
    <row r="14" spans="1:9" x14ac:dyDescent="0.2">
      <c r="A14" s="8">
        <v>46296</v>
      </c>
      <c r="B14" s="9">
        <v>0.56192129629629628</v>
      </c>
      <c r="C14" s="6">
        <v>7.875</v>
      </c>
      <c r="D14" s="4">
        <v>778</v>
      </c>
      <c r="E14" s="4" t="s">
        <v>35</v>
      </c>
      <c r="F14" s="10" t="s">
        <v>24</v>
      </c>
      <c r="G14" s="4" t="s">
        <v>35</v>
      </c>
    </row>
    <row r="15" spans="1:9" x14ac:dyDescent="0.2">
      <c r="A15" s="8">
        <v>46296</v>
      </c>
      <c r="B15" s="9">
        <v>0.56193287037037032</v>
      </c>
      <c r="C15" s="6">
        <v>8.390625</v>
      </c>
      <c r="D15" s="4">
        <v>774</v>
      </c>
      <c r="E15" s="4" t="s">
        <v>38</v>
      </c>
      <c r="F15" s="4" t="s">
        <v>38</v>
      </c>
      <c r="G15" s="4">
        <v>21</v>
      </c>
    </row>
    <row r="16" spans="1:9" x14ac:dyDescent="0.2">
      <c r="A16" s="8">
        <v>46296</v>
      </c>
      <c r="B16" s="9">
        <v>0.56193287037037032</v>
      </c>
      <c r="C16" s="6">
        <v>8.9140630000000005</v>
      </c>
      <c r="D16" s="4">
        <v>776</v>
      </c>
      <c r="E16" s="4" t="s">
        <v>38</v>
      </c>
      <c r="F16" s="4" t="s">
        <v>38</v>
      </c>
      <c r="G16" s="4">
        <v>4112</v>
      </c>
    </row>
    <row r="17" spans="1:7" x14ac:dyDescent="0.2">
      <c r="A17" s="8">
        <v>46296</v>
      </c>
      <c r="B17" s="9">
        <v>0.56194444444444447</v>
      </c>
      <c r="C17" s="6">
        <v>9.4296880000000005</v>
      </c>
      <c r="D17" s="4">
        <v>775</v>
      </c>
      <c r="E17" s="4" t="s">
        <v>38</v>
      </c>
      <c r="F17" s="4" t="s">
        <v>38</v>
      </c>
      <c r="G17" s="4">
        <v>4112</v>
      </c>
    </row>
    <row r="18" spans="1:7" x14ac:dyDescent="0.2">
      <c r="A18" s="8">
        <v>46296</v>
      </c>
      <c r="B18" s="9">
        <v>0.56195601851851851</v>
      </c>
      <c r="C18" s="6">
        <v>10.476559999999999</v>
      </c>
      <c r="D18" s="4">
        <v>777</v>
      </c>
      <c r="E18" s="4" t="s">
        <v>38</v>
      </c>
      <c r="F18" s="4" t="s">
        <v>38</v>
      </c>
      <c r="G18" s="4">
        <v>-237</v>
      </c>
    </row>
    <row r="19" spans="1:7" x14ac:dyDescent="0.2">
      <c r="A19" s="8">
        <v>46296</v>
      </c>
      <c r="B19" s="9">
        <v>0.56195601851851851</v>
      </c>
      <c r="C19" s="6">
        <v>10.996090000000001</v>
      </c>
      <c r="D19" s="4">
        <v>776</v>
      </c>
      <c r="E19" s="4" t="s">
        <v>38</v>
      </c>
      <c r="F19" s="10" t="s">
        <v>26</v>
      </c>
      <c r="G19" s="4">
        <v>3088</v>
      </c>
    </row>
    <row r="20" spans="1:7" x14ac:dyDescent="0.2">
      <c r="A20" s="8">
        <v>46296</v>
      </c>
      <c r="B20" s="9">
        <v>0.56196759259259255</v>
      </c>
      <c r="C20" s="6">
        <v>11.527340000000001</v>
      </c>
      <c r="D20" s="4">
        <v>776</v>
      </c>
      <c r="E20" s="4" t="s">
        <v>39</v>
      </c>
      <c r="F20" s="10">
        <v>0.54</v>
      </c>
      <c r="G20" s="4" t="s">
        <v>37</v>
      </c>
    </row>
    <row r="21" spans="1:7" x14ac:dyDescent="0.2">
      <c r="A21" s="8">
        <v>46296</v>
      </c>
      <c r="B21" s="9">
        <v>0.56196759259259255</v>
      </c>
      <c r="C21" s="6">
        <v>12.058590000000001</v>
      </c>
      <c r="D21" s="4">
        <v>778</v>
      </c>
      <c r="E21" s="4" t="s">
        <v>35</v>
      </c>
      <c r="F21" s="4" t="s">
        <v>35</v>
      </c>
      <c r="G21" s="4" t="s">
        <v>35</v>
      </c>
    </row>
    <row r="22" spans="1:7" x14ac:dyDescent="0.2">
      <c r="A22" s="8">
        <v>46296</v>
      </c>
      <c r="B22" s="9">
        <v>0.5619791666666667</v>
      </c>
      <c r="C22" s="6">
        <v>12.558590000000001</v>
      </c>
      <c r="D22" s="4">
        <v>777</v>
      </c>
      <c r="E22" s="4" t="s">
        <v>24</v>
      </c>
      <c r="F22" s="4" t="s">
        <v>24</v>
      </c>
      <c r="G22" s="4" t="s">
        <v>24</v>
      </c>
    </row>
    <row r="23" spans="1:7" x14ac:dyDescent="0.2">
      <c r="A23" s="8"/>
      <c r="B23" s="9"/>
    </row>
    <row r="24" spans="1:7" x14ac:dyDescent="0.2">
      <c r="A24" s="8"/>
      <c r="B24" s="9"/>
      <c r="F24" s="10"/>
    </row>
    <row r="25" spans="1:7" x14ac:dyDescent="0.2">
      <c r="A25" s="8"/>
      <c r="B25" s="9"/>
    </row>
    <row r="26" spans="1:7" x14ac:dyDescent="0.2">
      <c r="A26" s="8"/>
      <c r="B26" s="9"/>
    </row>
    <row r="27" spans="1:7" x14ac:dyDescent="0.2">
      <c r="A27" s="8"/>
      <c r="B27" s="9"/>
    </row>
    <row r="28" spans="1:7" x14ac:dyDescent="0.2">
      <c r="A28" s="8"/>
      <c r="B28" s="9"/>
    </row>
    <row r="29" spans="1:7" x14ac:dyDescent="0.2">
      <c r="A29" s="8"/>
      <c r="B29" s="9"/>
    </row>
    <row r="30" spans="1:7" x14ac:dyDescent="0.2">
      <c r="A30" s="8"/>
      <c r="B30" s="9"/>
    </row>
    <row r="31" spans="1:7" x14ac:dyDescent="0.2">
      <c r="A31" s="8"/>
      <c r="B31" s="9"/>
    </row>
    <row r="32" spans="1:7" x14ac:dyDescent="0.2">
      <c r="A32" s="8"/>
      <c r="B32" s="9"/>
    </row>
    <row r="33" spans="1:6" x14ac:dyDescent="0.2">
      <c r="A33" s="8"/>
      <c r="B33" s="9"/>
    </row>
    <row r="34" spans="1:6" x14ac:dyDescent="0.2">
      <c r="A34" s="8"/>
      <c r="B34" s="9"/>
    </row>
    <row r="35" spans="1:6" x14ac:dyDescent="0.2">
      <c r="A35" s="8"/>
      <c r="B35" s="9"/>
      <c r="F35" s="10"/>
    </row>
    <row r="36" spans="1:6" x14ac:dyDescent="0.2">
      <c r="A36" s="8"/>
      <c r="B36" s="9"/>
    </row>
    <row r="37" spans="1:6" x14ac:dyDescent="0.2">
      <c r="A37" s="8"/>
      <c r="B37" s="9"/>
    </row>
    <row r="38" spans="1:6" x14ac:dyDescent="0.2">
      <c r="A38" s="8"/>
      <c r="B38" s="9"/>
    </row>
    <row r="39" spans="1:6" x14ac:dyDescent="0.2">
      <c r="A39" s="8"/>
      <c r="B39" s="9"/>
    </row>
    <row r="40" spans="1:6" x14ac:dyDescent="0.2">
      <c r="A40" s="8"/>
      <c r="B40" s="9"/>
    </row>
    <row r="41" spans="1:6" x14ac:dyDescent="0.2">
      <c r="A41" s="8"/>
      <c r="B41" s="9"/>
    </row>
    <row r="42" spans="1:6" x14ac:dyDescent="0.2">
      <c r="A42" s="8"/>
      <c r="B42" s="9"/>
    </row>
    <row r="43" spans="1:6" x14ac:dyDescent="0.2">
      <c r="A43" s="8"/>
      <c r="B43" s="9"/>
    </row>
    <row r="44" spans="1:6" x14ac:dyDescent="0.2">
      <c r="A44" s="8"/>
      <c r="B44" s="9"/>
    </row>
    <row r="45" spans="1:6" x14ac:dyDescent="0.2">
      <c r="A45" s="8"/>
      <c r="B45" s="9"/>
    </row>
    <row r="46" spans="1:6" x14ac:dyDescent="0.2">
      <c r="A46" s="8"/>
      <c r="B46" s="9"/>
    </row>
    <row r="47" spans="1:6" x14ac:dyDescent="0.2">
      <c r="A47" s="8"/>
      <c r="B47" s="9"/>
    </row>
    <row r="48" spans="1:6" x14ac:dyDescent="0.2">
      <c r="A48" s="8"/>
      <c r="B48" s="9"/>
    </row>
    <row r="49" spans="1:6" x14ac:dyDescent="0.2">
      <c r="A49" s="8"/>
      <c r="B49" s="9"/>
    </row>
    <row r="50" spans="1:6" x14ac:dyDescent="0.2">
      <c r="A50" s="8"/>
      <c r="B50" s="9"/>
      <c r="F50" s="10"/>
    </row>
    <row r="51" spans="1:6" x14ac:dyDescent="0.2">
      <c r="A51" s="8"/>
      <c r="B51" s="9"/>
    </row>
    <row r="52" spans="1:6" x14ac:dyDescent="0.2">
      <c r="A52" s="8"/>
      <c r="B52" s="9"/>
    </row>
    <row r="53" spans="1:6" x14ac:dyDescent="0.2">
      <c r="A53" s="8"/>
      <c r="B53" s="9"/>
    </row>
    <row r="54" spans="1:6" x14ac:dyDescent="0.2">
      <c r="A54" s="8"/>
      <c r="B54" s="9"/>
    </row>
    <row r="55" spans="1:6" x14ac:dyDescent="0.2">
      <c r="A55" s="8"/>
      <c r="B55" s="9"/>
      <c r="F55" s="10"/>
    </row>
    <row r="56" spans="1:6" x14ac:dyDescent="0.2">
      <c r="A56" s="8"/>
      <c r="B56" s="9"/>
    </row>
    <row r="57" spans="1:6" x14ac:dyDescent="0.2">
      <c r="A57" s="8"/>
      <c r="B57" s="9"/>
    </row>
    <row r="58" spans="1:6" x14ac:dyDescent="0.2">
      <c r="A58" s="8"/>
      <c r="B58" s="9"/>
    </row>
    <row r="59" spans="1:6" x14ac:dyDescent="0.2">
      <c r="A59" s="8"/>
      <c r="B59" s="9"/>
    </row>
    <row r="60" spans="1:6" x14ac:dyDescent="0.2">
      <c r="A60" s="8"/>
      <c r="B60" s="9"/>
    </row>
    <row r="61" spans="1:6" x14ac:dyDescent="0.2">
      <c r="A61" s="8"/>
      <c r="B61" s="9"/>
    </row>
    <row r="62" spans="1:6" x14ac:dyDescent="0.2">
      <c r="A62" s="8"/>
      <c r="B62" s="9"/>
      <c r="F62" s="10"/>
    </row>
    <row r="63" spans="1:6" x14ac:dyDescent="0.2">
      <c r="A63" s="8"/>
      <c r="B63" s="9"/>
    </row>
    <row r="64" spans="1:6" x14ac:dyDescent="0.2">
      <c r="A64" s="8"/>
      <c r="B64" s="9"/>
    </row>
    <row r="65" spans="1:6" x14ac:dyDescent="0.2">
      <c r="A65" s="8"/>
      <c r="B65" s="9"/>
    </row>
    <row r="66" spans="1:6" x14ac:dyDescent="0.2">
      <c r="A66" s="8"/>
      <c r="B66" s="9"/>
    </row>
    <row r="67" spans="1:6" x14ac:dyDescent="0.2">
      <c r="A67" s="8"/>
      <c r="B67" s="9"/>
      <c r="F67" s="10"/>
    </row>
    <row r="68" spans="1:6" x14ac:dyDescent="0.2">
      <c r="A68" s="8"/>
      <c r="B68" s="9"/>
    </row>
    <row r="69" spans="1:6" x14ac:dyDescent="0.2">
      <c r="A69" s="8"/>
      <c r="B69" s="9"/>
    </row>
    <row r="70" spans="1:6" x14ac:dyDescent="0.2">
      <c r="A70" s="8"/>
      <c r="B70" s="9"/>
    </row>
    <row r="71" spans="1:6" x14ac:dyDescent="0.2">
      <c r="A71" s="8"/>
      <c r="B71" s="9"/>
    </row>
    <row r="72" spans="1:6" x14ac:dyDescent="0.2">
      <c r="A72" s="8"/>
      <c r="B72" s="9"/>
      <c r="F72" s="10"/>
    </row>
    <row r="73" spans="1:6" x14ac:dyDescent="0.2">
      <c r="A73" s="8"/>
      <c r="B73" s="9"/>
    </row>
    <row r="74" spans="1:6" x14ac:dyDescent="0.2">
      <c r="A74" s="8"/>
      <c r="B74" s="9"/>
    </row>
    <row r="75" spans="1:6" x14ac:dyDescent="0.2">
      <c r="A75" s="8"/>
      <c r="B75" s="9"/>
    </row>
    <row r="76" spans="1:6" x14ac:dyDescent="0.2">
      <c r="A76" s="8"/>
      <c r="B76" s="9"/>
    </row>
    <row r="77" spans="1:6" x14ac:dyDescent="0.2">
      <c r="A77" s="8"/>
      <c r="B77" s="9"/>
    </row>
    <row r="78" spans="1:6" x14ac:dyDescent="0.2">
      <c r="A78" s="8"/>
      <c r="B78" s="9"/>
    </row>
    <row r="79" spans="1:6" x14ac:dyDescent="0.2">
      <c r="A79" s="8"/>
      <c r="B79" s="9"/>
    </row>
    <row r="80" spans="1:6" x14ac:dyDescent="0.2">
      <c r="A80" s="8"/>
      <c r="B80" s="9"/>
    </row>
    <row r="81" spans="1:6" x14ac:dyDescent="0.2">
      <c r="A81" s="8"/>
      <c r="B81" s="9"/>
    </row>
    <row r="82" spans="1:6" x14ac:dyDescent="0.2">
      <c r="A82" s="8"/>
      <c r="B82" s="9"/>
    </row>
    <row r="83" spans="1:6" x14ac:dyDescent="0.2">
      <c r="A83" s="8"/>
      <c r="B83" s="9"/>
    </row>
    <row r="84" spans="1:6" x14ac:dyDescent="0.2">
      <c r="A84" s="8"/>
      <c r="B84" s="9"/>
    </row>
    <row r="85" spans="1:6" x14ac:dyDescent="0.2">
      <c r="A85" s="8"/>
      <c r="B85" s="9"/>
    </row>
    <row r="86" spans="1:6" x14ac:dyDescent="0.2">
      <c r="A86" s="8"/>
      <c r="B86" s="9"/>
      <c r="F86" s="10"/>
    </row>
    <row r="87" spans="1:6" x14ac:dyDescent="0.2">
      <c r="A87" s="8"/>
      <c r="B87" s="9"/>
    </row>
    <row r="88" spans="1:6" x14ac:dyDescent="0.2">
      <c r="A88" s="8"/>
      <c r="B88" s="9"/>
    </row>
    <row r="89" spans="1:6" x14ac:dyDescent="0.2">
      <c r="A89" s="8"/>
      <c r="B89" s="9"/>
    </row>
    <row r="90" spans="1:6" x14ac:dyDescent="0.2">
      <c r="A90" s="8"/>
      <c r="B90" s="9"/>
    </row>
    <row r="91" spans="1:6" x14ac:dyDescent="0.2">
      <c r="A91" s="8"/>
      <c r="B91" s="9"/>
      <c r="F91" s="10"/>
    </row>
    <row r="92" spans="1:6" x14ac:dyDescent="0.2">
      <c r="A92" s="8"/>
      <c r="B92" s="9"/>
    </row>
    <row r="93" spans="1:6" x14ac:dyDescent="0.2">
      <c r="A93" s="8"/>
      <c r="B93" s="9"/>
    </row>
    <row r="94" spans="1:6" x14ac:dyDescent="0.2">
      <c r="A94" s="8"/>
      <c r="B94" s="9"/>
    </row>
    <row r="95" spans="1:6" x14ac:dyDescent="0.2">
      <c r="A95" s="8"/>
      <c r="B95" s="9"/>
    </row>
    <row r="96" spans="1:6" x14ac:dyDescent="0.2">
      <c r="A96" s="8"/>
      <c r="B96" s="9"/>
      <c r="F96" s="10"/>
    </row>
    <row r="97" spans="1:6" x14ac:dyDescent="0.2">
      <c r="A97" s="8"/>
      <c r="B97" s="9"/>
    </row>
    <row r="98" spans="1:6" x14ac:dyDescent="0.2">
      <c r="A98" s="8"/>
      <c r="B98" s="9"/>
    </row>
    <row r="99" spans="1:6" x14ac:dyDescent="0.2">
      <c r="A99" s="8"/>
      <c r="B99" s="9"/>
    </row>
    <row r="100" spans="1:6" x14ac:dyDescent="0.2">
      <c r="A100" s="8"/>
      <c r="B100" s="9"/>
    </row>
    <row r="101" spans="1:6" x14ac:dyDescent="0.2">
      <c r="A101" s="8"/>
      <c r="B101" s="9"/>
    </row>
    <row r="102" spans="1:6" x14ac:dyDescent="0.2">
      <c r="A102" s="8"/>
      <c r="B102" s="9"/>
    </row>
    <row r="103" spans="1:6" x14ac:dyDescent="0.2">
      <c r="A103" s="8"/>
      <c r="B103" s="9"/>
    </row>
    <row r="104" spans="1:6" x14ac:dyDescent="0.2">
      <c r="A104" s="8"/>
      <c r="B104" s="9"/>
    </row>
    <row r="105" spans="1:6" x14ac:dyDescent="0.2">
      <c r="A105" s="8"/>
      <c r="B105" s="9"/>
    </row>
    <row r="106" spans="1:6" x14ac:dyDescent="0.2">
      <c r="A106" s="8"/>
      <c r="B106" s="9"/>
    </row>
    <row r="107" spans="1:6" x14ac:dyDescent="0.2">
      <c r="A107" s="8"/>
      <c r="B107" s="9"/>
      <c r="F107" s="10"/>
    </row>
    <row r="108" spans="1:6" x14ac:dyDescent="0.2">
      <c r="A108" s="8"/>
      <c r="B108" s="9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AD4DB-7909-45B2-B3D5-C6ECEBFBBF0B}">
  <dimension ref="A1:I25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46296</v>
      </c>
      <c r="B2" s="9">
        <v>0.56314814814814818</v>
      </c>
      <c r="C2" s="6">
        <v>1.8125</v>
      </c>
      <c r="D2" s="4">
        <v>769</v>
      </c>
      <c r="E2" s="4" t="s">
        <v>35</v>
      </c>
      <c r="F2" s="4" t="s">
        <v>35</v>
      </c>
      <c r="G2" s="4" t="s">
        <v>35</v>
      </c>
      <c r="I2">
        <f>AVERAGE(D2:D21)</f>
        <v>772.55</v>
      </c>
    </row>
    <row r="3" spans="1:9" x14ac:dyDescent="0.2">
      <c r="A3" s="8">
        <v>46296</v>
      </c>
      <c r="B3" s="9">
        <v>0.56314814814814818</v>
      </c>
      <c r="C3" s="6">
        <v>2.28125</v>
      </c>
      <c r="D3" s="4">
        <v>770</v>
      </c>
      <c r="E3" s="4" t="s">
        <v>35</v>
      </c>
      <c r="F3" s="4" t="s">
        <v>35</v>
      </c>
      <c r="G3" s="4" t="s">
        <v>35</v>
      </c>
      <c r="I3">
        <f>91*(1023-I2)/I2</f>
        <v>29.500938450585728</v>
      </c>
    </row>
    <row r="4" spans="1:9" x14ac:dyDescent="0.2">
      <c r="A4" s="8">
        <v>46296</v>
      </c>
      <c r="B4" s="9">
        <v>0.56315972222222221</v>
      </c>
      <c r="C4" s="6">
        <v>2.78125</v>
      </c>
      <c r="D4" s="4">
        <v>770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46296</v>
      </c>
      <c r="B5" s="9">
        <v>0.56315972222222221</v>
      </c>
      <c r="C5" s="6">
        <v>3.3125</v>
      </c>
      <c r="D5" s="4">
        <v>772</v>
      </c>
      <c r="E5" s="4" t="s">
        <v>39</v>
      </c>
      <c r="F5" s="10">
        <v>0.54</v>
      </c>
      <c r="G5" s="4" t="s">
        <v>37</v>
      </c>
    </row>
    <row r="6" spans="1:9" x14ac:dyDescent="0.2">
      <c r="A6" s="8">
        <v>46296</v>
      </c>
      <c r="B6" s="9">
        <v>0.56317129629629625</v>
      </c>
      <c r="C6" s="6">
        <v>3.828125</v>
      </c>
      <c r="D6" s="4">
        <v>772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46296</v>
      </c>
      <c r="B7" s="9">
        <v>0.56317129629629625</v>
      </c>
      <c r="C7" s="6">
        <v>4.328125</v>
      </c>
      <c r="D7" s="4">
        <v>772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46296</v>
      </c>
      <c r="B8" s="9">
        <v>0.5631828703703704</v>
      </c>
      <c r="C8" s="6">
        <v>4.828125</v>
      </c>
      <c r="D8" s="4">
        <v>772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46296</v>
      </c>
      <c r="B9" s="9">
        <v>0.5631828703703704</v>
      </c>
      <c r="C9" s="6">
        <v>5.328125</v>
      </c>
      <c r="D9" s="4">
        <v>772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46296</v>
      </c>
      <c r="B10" s="9">
        <v>0.56319444444444444</v>
      </c>
      <c r="C10" s="6">
        <v>5.859375</v>
      </c>
      <c r="D10" s="4">
        <v>774</v>
      </c>
      <c r="E10" s="4" t="s">
        <v>39</v>
      </c>
      <c r="F10" s="10">
        <v>0.54</v>
      </c>
      <c r="G10" s="4" t="s">
        <v>37</v>
      </c>
    </row>
    <row r="11" spans="1:9" x14ac:dyDescent="0.2">
      <c r="A11" s="8">
        <v>46296</v>
      </c>
      <c r="B11" s="9">
        <v>0.56319444444444444</v>
      </c>
      <c r="C11" s="6">
        <v>6.375</v>
      </c>
      <c r="D11" s="4">
        <v>772</v>
      </c>
      <c r="E11" s="4" t="s">
        <v>35</v>
      </c>
      <c r="F11" s="4" t="s">
        <v>35</v>
      </c>
      <c r="G11" s="4" t="s">
        <v>35</v>
      </c>
    </row>
    <row r="12" spans="1:9" x14ac:dyDescent="0.2">
      <c r="A12" s="8">
        <v>46296</v>
      </c>
      <c r="B12" s="9">
        <v>0.56320601851851848</v>
      </c>
      <c r="C12" s="6">
        <v>6.875</v>
      </c>
      <c r="D12" s="4">
        <v>773</v>
      </c>
      <c r="E12" s="4" t="s">
        <v>35</v>
      </c>
      <c r="F12" s="4" t="s">
        <v>35</v>
      </c>
      <c r="G12" s="4" t="s">
        <v>35</v>
      </c>
    </row>
    <row r="13" spans="1:9" x14ac:dyDescent="0.2">
      <c r="A13" s="8">
        <v>46296</v>
      </c>
      <c r="B13" s="9">
        <v>0.56320601851851848</v>
      </c>
      <c r="C13" s="6">
        <v>7.375</v>
      </c>
      <c r="D13" s="4">
        <v>771</v>
      </c>
      <c r="E13" s="4" t="s">
        <v>35</v>
      </c>
      <c r="F13" s="4" t="s">
        <v>35</v>
      </c>
      <c r="G13" s="4" t="s">
        <v>35</v>
      </c>
    </row>
    <row r="14" spans="1:9" x14ac:dyDescent="0.2">
      <c r="A14" s="8">
        <v>46296</v>
      </c>
      <c r="B14" s="9">
        <v>0.56321759259259263</v>
      </c>
      <c r="C14" s="6">
        <v>7.875</v>
      </c>
      <c r="D14" s="4">
        <v>775</v>
      </c>
      <c r="E14" s="4" t="s">
        <v>35</v>
      </c>
      <c r="F14" s="4" t="s">
        <v>35</v>
      </c>
      <c r="G14" s="4" t="s">
        <v>35</v>
      </c>
    </row>
    <row r="15" spans="1:9" x14ac:dyDescent="0.2">
      <c r="A15" s="8">
        <v>46296</v>
      </c>
      <c r="B15" s="9">
        <v>0.56322916666666667</v>
      </c>
      <c r="C15" s="6">
        <v>8.890625</v>
      </c>
      <c r="D15" s="4">
        <v>771</v>
      </c>
      <c r="E15" s="4" t="s">
        <v>38</v>
      </c>
      <c r="F15" s="10" t="s">
        <v>26</v>
      </c>
      <c r="G15" s="4">
        <v>-237</v>
      </c>
    </row>
    <row r="16" spans="1:9" x14ac:dyDescent="0.2">
      <c r="A16" s="8">
        <v>46296</v>
      </c>
      <c r="B16" s="9">
        <v>0.56322916666666667</v>
      </c>
      <c r="C16" s="6">
        <v>9.421875</v>
      </c>
      <c r="D16" s="4">
        <v>775</v>
      </c>
      <c r="E16" s="4" t="s">
        <v>38</v>
      </c>
      <c r="F16" s="4" t="s">
        <v>38</v>
      </c>
      <c r="G16" s="4">
        <v>4112</v>
      </c>
    </row>
    <row r="17" spans="1:7" x14ac:dyDescent="0.2">
      <c r="A17" s="8">
        <v>46296</v>
      </c>
      <c r="B17" s="9">
        <v>0.56324074074074071</v>
      </c>
      <c r="C17" s="6">
        <v>10.45313</v>
      </c>
      <c r="D17" s="4">
        <v>773</v>
      </c>
      <c r="E17" s="4" t="s">
        <v>38</v>
      </c>
      <c r="F17" s="4" t="s">
        <v>38</v>
      </c>
      <c r="G17" s="4">
        <v>-237</v>
      </c>
    </row>
    <row r="18" spans="1:7" x14ac:dyDescent="0.2">
      <c r="A18" s="8">
        <v>46296</v>
      </c>
      <c r="B18" s="9">
        <v>0.56325231481481486</v>
      </c>
      <c r="C18" s="6">
        <v>10.98438</v>
      </c>
      <c r="D18" s="4">
        <v>773</v>
      </c>
      <c r="E18" s="4" t="s">
        <v>38</v>
      </c>
      <c r="F18" s="4" t="s">
        <v>38</v>
      </c>
      <c r="G18" s="4">
        <v>3088</v>
      </c>
    </row>
    <row r="19" spans="1:7" x14ac:dyDescent="0.2">
      <c r="A19" s="8">
        <v>46296</v>
      </c>
      <c r="B19" s="9">
        <v>0.5632638888888889</v>
      </c>
      <c r="C19" s="6">
        <v>12.01563</v>
      </c>
      <c r="D19" s="4">
        <v>774</v>
      </c>
      <c r="E19" s="4" t="s">
        <v>38</v>
      </c>
      <c r="F19" s="4" t="s">
        <v>38</v>
      </c>
      <c r="G19" s="4">
        <v>-237</v>
      </c>
    </row>
    <row r="20" spans="1:7" x14ac:dyDescent="0.2">
      <c r="A20" s="8">
        <v>46296</v>
      </c>
      <c r="B20" s="9">
        <v>0.5632638888888889</v>
      </c>
      <c r="C20" s="6">
        <v>12.54688</v>
      </c>
      <c r="D20" s="4">
        <v>776</v>
      </c>
      <c r="E20" s="4" t="s">
        <v>38</v>
      </c>
      <c r="F20" s="10" t="s">
        <v>26</v>
      </c>
      <c r="G20" s="4">
        <v>3088</v>
      </c>
    </row>
    <row r="21" spans="1:7" x14ac:dyDescent="0.2">
      <c r="A21" s="8">
        <v>46296</v>
      </c>
      <c r="B21" s="9">
        <v>0.56327546296296294</v>
      </c>
      <c r="C21" s="6">
        <v>13.57813</v>
      </c>
      <c r="D21" s="4">
        <v>775</v>
      </c>
      <c r="E21" s="4" t="s">
        <v>38</v>
      </c>
      <c r="F21" s="4" t="s">
        <v>38</v>
      </c>
      <c r="G21" s="4">
        <v>-237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</row>
    <row r="25" spans="1:7" x14ac:dyDescent="0.2">
      <c r="A25" s="8"/>
      <c r="B25" s="9"/>
      <c r="F25" s="10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07D05-CF41-48E4-B4C9-74EB80249D2E}">
  <dimension ref="A1:I24"/>
  <sheetViews>
    <sheetView workbookViewId="0">
      <selection activeCell="D23" sqref="D23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46296</v>
      </c>
      <c r="B2" s="9">
        <v>0.57620370370370366</v>
      </c>
      <c r="C2" s="6">
        <v>1.800781</v>
      </c>
      <c r="D2" s="4">
        <v>825</v>
      </c>
      <c r="E2" s="4" t="s">
        <v>35</v>
      </c>
      <c r="F2" s="4" t="s">
        <v>35</v>
      </c>
      <c r="G2" s="4" t="s">
        <v>35</v>
      </c>
      <c r="I2">
        <f>AVERAGE(D2:D21)</f>
        <v>825.75</v>
      </c>
    </row>
    <row r="3" spans="1:9" x14ac:dyDescent="0.2">
      <c r="A3" s="8">
        <v>46296</v>
      </c>
      <c r="B3" s="9">
        <v>0.57620370370370366</v>
      </c>
      <c r="C3" s="6">
        <v>2.2773439999999998</v>
      </c>
      <c r="D3" s="4">
        <v>826</v>
      </c>
      <c r="E3" s="4" t="s">
        <v>35</v>
      </c>
      <c r="F3" s="4" t="s">
        <v>35</v>
      </c>
      <c r="G3" s="4" t="s">
        <v>35</v>
      </c>
      <c r="I3">
        <f>91*(1023-I2)/I2</f>
        <v>21.737511353315167</v>
      </c>
    </row>
    <row r="4" spans="1:9" x14ac:dyDescent="0.2">
      <c r="A4" s="8">
        <v>46296</v>
      </c>
      <c r="B4" s="9">
        <v>0.57621527777777781</v>
      </c>
      <c r="C4" s="6">
        <v>2.7773439999999998</v>
      </c>
      <c r="D4" s="4">
        <v>825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46296</v>
      </c>
      <c r="B5" s="9">
        <v>0.57621527777777781</v>
      </c>
      <c r="C5" s="6">
        <v>3.3007810000000002</v>
      </c>
      <c r="D5" s="4">
        <v>826</v>
      </c>
      <c r="E5" s="4" t="s">
        <v>39</v>
      </c>
      <c r="F5" s="10">
        <v>0.5</v>
      </c>
      <c r="G5" s="4" t="s">
        <v>37</v>
      </c>
    </row>
    <row r="6" spans="1:9" x14ac:dyDescent="0.2">
      <c r="A6" s="8">
        <v>46296</v>
      </c>
      <c r="B6" s="9">
        <v>0.57622685185185185</v>
      </c>
      <c r="C6" s="6">
        <v>3.8203130000000001</v>
      </c>
      <c r="D6" s="4">
        <v>825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46296</v>
      </c>
      <c r="B7" s="9">
        <v>0.57622685185185185</v>
      </c>
      <c r="C7" s="6">
        <v>4.3203129999999996</v>
      </c>
      <c r="D7" s="4">
        <v>825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46296</v>
      </c>
      <c r="B8" s="9">
        <v>0.57623842592592589</v>
      </c>
      <c r="C8" s="6">
        <v>4.8203129999999996</v>
      </c>
      <c r="D8" s="4">
        <v>825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46296</v>
      </c>
      <c r="B9" s="9">
        <v>0.57623842592592589</v>
      </c>
      <c r="C9" s="6">
        <v>5.3203129999999996</v>
      </c>
      <c r="D9" s="4">
        <v>826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46296</v>
      </c>
      <c r="B10" s="9">
        <v>0.57625000000000004</v>
      </c>
      <c r="C10" s="6">
        <v>5.8359379999999996</v>
      </c>
      <c r="D10" s="4">
        <v>826</v>
      </c>
      <c r="E10" s="4" t="s">
        <v>39</v>
      </c>
      <c r="F10" s="10">
        <v>0.5</v>
      </c>
      <c r="G10" s="4" t="s">
        <v>37</v>
      </c>
    </row>
    <row r="11" spans="1:9" x14ac:dyDescent="0.2">
      <c r="A11" s="8">
        <v>46296</v>
      </c>
      <c r="B11" s="9">
        <v>0.57625000000000004</v>
      </c>
      <c r="C11" s="6">
        <v>6.3632809999999997</v>
      </c>
      <c r="D11" s="4">
        <v>826</v>
      </c>
      <c r="E11" s="4" t="s">
        <v>35</v>
      </c>
      <c r="F11" s="4" t="s">
        <v>35</v>
      </c>
      <c r="G11" s="4" t="s">
        <v>35</v>
      </c>
    </row>
    <row r="12" spans="1:9" x14ac:dyDescent="0.2">
      <c r="A12" s="8">
        <v>46296</v>
      </c>
      <c r="B12" s="9">
        <v>0.57626157407407408</v>
      </c>
      <c r="C12" s="6">
        <v>6.859375</v>
      </c>
      <c r="D12" s="4">
        <v>825</v>
      </c>
      <c r="E12" s="4" t="s">
        <v>35</v>
      </c>
      <c r="F12" s="4" t="s">
        <v>35</v>
      </c>
      <c r="G12" s="4" t="s">
        <v>35</v>
      </c>
    </row>
    <row r="13" spans="1:9" x14ac:dyDescent="0.2">
      <c r="A13" s="8">
        <v>46296</v>
      </c>
      <c r="B13" s="9">
        <v>0.57626157407407408</v>
      </c>
      <c r="C13" s="6">
        <v>7.359375</v>
      </c>
      <c r="D13" s="4">
        <v>827</v>
      </c>
      <c r="E13" s="4" t="s">
        <v>35</v>
      </c>
      <c r="F13" s="4" t="s">
        <v>35</v>
      </c>
      <c r="G13" s="4" t="s">
        <v>35</v>
      </c>
    </row>
    <row r="14" spans="1:9" x14ac:dyDescent="0.2">
      <c r="A14" s="8">
        <v>46296</v>
      </c>
      <c r="B14" s="9">
        <v>0.57627314814814812</v>
      </c>
      <c r="C14" s="6">
        <v>7.859375</v>
      </c>
      <c r="D14" s="4">
        <v>826</v>
      </c>
      <c r="E14" s="4" t="s">
        <v>35</v>
      </c>
      <c r="F14" s="4" t="s">
        <v>35</v>
      </c>
      <c r="G14" s="4" t="s">
        <v>35</v>
      </c>
    </row>
    <row r="15" spans="1:9" x14ac:dyDescent="0.2">
      <c r="A15" s="8">
        <v>46296</v>
      </c>
      <c r="B15" s="9">
        <v>0.57627314814814812</v>
      </c>
      <c r="C15" s="6">
        <v>8.3789060000000006</v>
      </c>
      <c r="D15" s="4">
        <v>826</v>
      </c>
      <c r="E15" s="4" t="s">
        <v>39</v>
      </c>
      <c r="F15" s="10">
        <v>0.5</v>
      </c>
      <c r="G15" s="4" t="s">
        <v>25</v>
      </c>
    </row>
    <row r="16" spans="1:9" x14ac:dyDescent="0.2">
      <c r="A16" s="8">
        <v>46296</v>
      </c>
      <c r="B16" s="9">
        <v>0.57628472222222227</v>
      </c>
      <c r="C16" s="6">
        <v>8.9101560000000006</v>
      </c>
      <c r="D16" s="4">
        <v>825</v>
      </c>
      <c r="E16" s="4" t="s">
        <v>35</v>
      </c>
      <c r="F16" s="4" t="s">
        <v>35</v>
      </c>
      <c r="G16" s="4" t="s">
        <v>24</v>
      </c>
    </row>
    <row r="17" spans="1:7" x14ac:dyDescent="0.2">
      <c r="A17" s="8">
        <v>46296</v>
      </c>
      <c r="B17" s="9">
        <v>0.57628472222222227</v>
      </c>
      <c r="C17" s="6">
        <v>9.4023439999999994</v>
      </c>
      <c r="D17" s="4">
        <v>825</v>
      </c>
      <c r="E17" s="4" t="s">
        <v>35</v>
      </c>
      <c r="F17" s="4" t="s">
        <v>35</v>
      </c>
      <c r="G17" s="4" t="s">
        <v>24</v>
      </c>
    </row>
    <row r="18" spans="1:7" x14ac:dyDescent="0.2">
      <c r="A18" s="8">
        <v>46296</v>
      </c>
      <c r="B18" s="9">
        <v>0.57629629629629631</v>
      </c>
      <c r="C18" s="6">
        <v>9.9101560000000006</v>
      </c>
      <c r="D18" s="4">
        <v>827</v>
      </c>
      <c r="E18" s="4" t="s">
        <v>35</v>
      </c>
      <c r="F18" s="10" t="s">
        <v>35</v>
      </c>
      <c r="G18" s="4" t="s">
        <v>24</v>
      </c>
    </row>
    <row r="19" spans="1:7" x14ac:dyDescent="0.2">
      <c r="A19" s="8">
        <v>46296</v>
      </c>
      <c r="B19" s="9">
        <v>0.57629629629629631</v>
      </c>
      <c r="C19" s="6">
        <v>10.398440000000001</v>
      </c>
      <c r="D19" s="4">
        <v>826</v>
      </c>
      <c r="E19" s="4" t="s">
        <v>35</v>
      </c>
      <c r="F19" s="10" t="s">
        <v>24</v>
      </c>
      <c r="G19" s="4" t="s">
        <v>35</v>
      </c>
    </row>
    <row r="20" spans="1:7" x14ac:dyDescent="0.2">
      <c r="A20" s="8">
        <v>46296</v>
      </c>
      <c r="B20" s="9">
        <v>0.57630787037037035</v>
      </c>
      <c r="C20" s="6">
        <v>10.929690000000001</v>
      </c>
      <c r="D20" s="4">
        <v>826</v>
      </c>
      <c r="E20" s="4" t="s">
        <v>39</v>
      </c>
      <c r="F20" s="10">
        <v>0.5</v>
      </c>
      <c r="G20" s="4" t="s">
        <v>37</v>
      </c>
    </row>
    <row r="21" spans="1:7" x14ac:dyDescent="0.2">
      <c r="A21" s="8">
        <v>46296</v>
      </c>
      <c r="B21" s="9">
        <v>0.57630787037037035</v>
      </c>
      <c r="C21" s="6">
        <v>11.445309999999999</v>
      </c>
      <c r="D21" s="4">
        <v>827</v>
      </c>
      <c r="E21" s="4" t="s">
        <v>35</v>
      </c>
      <c r="F21" s="4" t="s">
        <v>35</v>
      </c>
      <c r="G21" s="4" t="s">
        <v>35</v>
      </c>
    </row>
    <row r="22" spans="1:7" x14ac:dyDescent="0.2">
      <c r="D22" s="4">
        <f>AVERAGE(D2:D21)</f>
        <v>825.75</v>
      </c>
    </row>
    <row r="23" spans="1:7" x14ac:dyDescent="0.2">
      <c r="D23" s="4">
        <f>91*((1023-D22)/D22)</f>
        <v>21.737511353315167</v>
      </c>
    </row>
    <row r="24" spans="1:7" x14ac:dyDescent="0.2">
      <c r="D24" s="11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5719D-93BE-4C10-93A0-C8B6356E3C39}">
  <dimension ref="A1:G25"/>
  <sheetViews>
    <sheetView workbookViewId="0">
      <selection activeCell="D23" sqref="D23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46296</v>
      </c>
      <c r="B2" s="9">
        <v>0.57969907407407406</v>
      </c>
      <c r="C2" s="6">
        <v>1.800781</v>
      </c>
      <c r="D2" s="4">
        <v>862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46296</v>
      </c>
      <c r="B3" s="9">
        <v>0.57969907407407406</v>
      </c>
      <c r="C3" s="6">
        <v>2.2695310000000002</v>
      </c>
      <c r="D3" s="4">
        <v>861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46296</v>
      </c>
      <c r="B4" s="9">
        <v>0.57969907407407406</v>
      </c>
      <c r="C4" s="6">
        <v>2.7695310000000002</v>
      </c>
      <c r="D4" s="4">
        <v>862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46296</v>
      </c>
      <c r="B5" s="9">
        <v>0.5797106481481481</v>
      </c>
      <c r="C5" s="6">
        <v>3.2851560000000002</v>
      </c>
      <c r="D5" s="4">
        <v>861</v>
      </c>
      <c r="E5" s="4" t="s">
        <v>41</v>
      </c>
      <c r="F5" s="10">
        <v>0.51</v>
      </c>
      <c r="G5" s="4" t="s">
        <v>25</v>
      </c>
    </row>
    <row r="6" spans="1:7" x14ac:dyDescent="0.2">
      <c r="A6" s="8">
        <v>46296</v>
      </c>
      <c r="B6" s="9">
        <v>0.57972222222222225</v>
      </c>
      <c r="C6" s="6">
        <v>3.8164060000000002</v>
      </c>
      <c r="D6" s="4">
        <v>860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46296</v>
      </c>
      <c r="B7" s="9">
        <v>0.57972222222222225</v>
      </c>
      <c r="C7" s="6">
        <v>4.3164059999999997</v>
      </c>
      <c r="D7" s="4">
        <v>859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46296</v>
      </c>
      <c r="B8" s="9">
        <v>0.57973379629629629</v>
      </c>
      <c r="C8" s="6">
        <v>4.8164059999999997</v>
      </c>
      <c r="D8" s="4">
        <v>861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46296</v>
      </c>
      <c r="B9" s="9">
        <v>0.57973379629629629</v>
      </c>
      <c r="C9" s="6">
        <v>5.3164059999999997</v>
      </c>
      <c r="D9" s="4">
        <v>862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46296</v>
      </c>
      <c r="B10" s="9">
        <v>0.57974537037037033</v>
      </c>
      <c r="C10" s="6">
        <v>5.8320309999999997</v>
      </c>
      <c r="D10" s="4">
        <v>860</v>
      </c>
      <c r="E10" s="4" t="s">
        <v>41</v>
      </c>
      <c r="F10" s="10">
        <v>0.51</v>
      </c>
      <c r="G10" s="4" t="s">
        <v>25</v>
      </c>
    </row>
    <row r="11" spans="1:7" x14ac:dyDescent="0.2">
      <c r="A11" s="8">
        <v>46296</v>
      </c>
      <c r="B11" s="9">
        <v>0.57974537037037033</v>
      </c>
      <c r="C11" s="6">
        <v>6.3632809999999997</v>
      </c>
      <c r="D11" s="4">
        <v>861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46296</v>
      </c>
      <c r="B12" s="9">
        <v>0.57975694444444448</v>
      </c>
      <c r="C12" s="6">
        <v>6.8632809999999997</v>
      </c>
      <c r="D12" s="4">
        <v>862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46296</v>
      </c>
      <c r="B13" s="9">
        <v>0.57975694444444448</v>
      </c>
      <c r="C13" s="6">
        <v>7.3632809999999997</v>
      </c>
      <c r="D13" s="4">
        <v>862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46296</v>
      </c>
      <c r="B14" s="9">
        <v>0.57976851851851852</v>
      </c>
      <c r="C14" s="6">
        <v>7.8632809999999997</v>
      </c>
      <c r="D14" s="4">
        <v>862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46296</v>
      </c>
      <c r="B15" s="9">
        <v>0.57976851851851852</v>
      </c>
      <c r="C15" s="6">
        <v>8.3789060000000006</v>
      </c>
      <c r="D15" s="4">
        <v>861</v>
      </c>
      <c r="E15" s="4" t="s">
        <v>41</v>
      </c>
      <c r="F15" s="10">
        <v>0.51</v>
      </c>
      <c r="G15" s="4" t="s">
        <v>25</v>
      </c>
    </row>
    <row r="16" spans="1:7" x14ac:dyDescent="0.2">
      <c r="A16" s="8">
        <v>46296</v>
      </c>
      <c r="B16" s="9">
        <v>0.57978009259259256</v>
      </c>
      <c r="C16" s="6">
        <v>8.8945310000000006</v>
      </c>
      <c r="D16" s="4">
        <v>863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46296</v>
      </c>
      <c r="B17" s="9">
        <v>0.57978009259259256</v>
      </c>
      <c r="C17" s="6">
        <v>9.3945310000000006</v>
      </c>
      <c r="D17" s="4">
        <v>862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46296</v>
      </c>
      <c r="B18" s="9">
        <v>0.57979166666666671</v>
      </c>
      <c r="C18" s="6">
        <v>9.8945310000000006</v>
      </c>
      <c r="D18" s="4">
        <v>862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46296</v>
      </c>
      <c r="B19" s="9">
        <v>0.57979166666666671</v>
      </c>
      <c r="C19" s="6">
        <v>10.410159999999999</v>
      </c>
      <c r="D19" s="4">
        <v>860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46296</v>
      </c>
      <c r="B20" s="9">
        <v>0.57980324074074074</v>
      </c>
      <c r="C20" s="6">
        <v>10.91797</v>
      </c>
      <c r="D20" s="4">
        <v>861</v>
      </c>
      <c r="E20" s="4" t="s">
        <v>41</v>
      </c>
      <c r="F20" s="10">
        <v>0.51</v>
      </c>
      <c r="G20" s="4" t="s">
        <v>25</v>
      </c>
    </row>
    <row r="21" spans="1:7" x14ac:dyDescent="0.2">
      <c r="A21" s="8">
        <v>46296</v>
      </c>
      <c r="B21" s="9">
        <v>0.57980324074074074</v>
      </c>
      <c r="C21" s="6">
        <v>11.441409999999999</v>
      </c>
      <c r="D21" s="4">
        <v>860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  <c r="D22" s="4">
        <f>AVERAGE(D2:D21)</f>
        <v>861.2</v>
      </c>
    </row>
    <row r="23" spans="1:7" x14ac:dyDescent="0.2">
      <c r="A23" s="8"/>
      <c r="B23" s="9"/>
      <c r="D23" s="4">
        <f>91*((1023-D22)/D22)</f>
        <v>17.096841616349273</v>
      </c>
    </row>
    <row r="24" spans="1:7" x14ac:dyDescent="0.2">
      <c r="A24" s="8"/>
      <c r="B24" s="9"/>
    </row>
    <row r="25" spans="1:7" x14ac:dyDescent="0.2">
      <c r="A25" s="8"/>
      <c r="B25" s="9"/>
      <c r="F25" s="10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78A74-100F-4E9E-99A2-64C857DA916D}">
  <dimension ref="A1:I28"/>
  <sheetViews>
    <sheetView workbookViewId="0">
      <selection activeCell="F29" sqref="F29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46296</v>
      </c>
      <c r="B2" s="9">
        <v>0.56663194444444442</v>
      </c>
      <c r="C2" s="6">
        <v>1.792969</v>
      </c>
      <c r="D2" s="4">
        <v>860</v>
      </c>
      <c r="E2" s="4" t="s">
        <v>35</v>
      </c>
      <c r="F2" s="4" t="s">
        <v>35</v>
      </c>
      <c r="G2" s="4" t="s">
        <v>35</v>
      </c>
      <c r="I2">
        <f>AVERAGE(D2:D21)</f>
        <v>853.55</v>
      </c>
    </row>
    <row r="3" spans="1:9" x14ac:dyDescent="0.2">
      <c r="A3" s="8">
        <v>46296</v>
      </c>
      <c r="B3" s="9">
        <v>0.56663194444444442</v>
      </c>
      <c r="C3" s="6">
        <v>2.2773439999999998</v>
      </c>
      <c r="D3" s="4">
        <v>858</v>
      </c>
      <c r="E3" s="4" t="s">
        <v>35</v>
      </c>
      <c r="F3" s="4" t="s">
        <v>35</v>
      </c>
      <c r="G3" s="4" t="s">
        <v>35</v>
      </c>
      <c r="I3">
        <f>91*(1023-I2)/I2</f>
        <v>18.06566692050847</v>
      </c>
    </row>
    <row r="4" spans="1:9" x14ac:dyDescent="0.2">
      <c r="A4" s="8">
        <v>46296</v>
      </c>
      <c r="B4" s="9">
        <v>0.56664351851851846</v>
      </c>
      <c r="C4" s="6">
        <v>2.7773439999999998</v>
      </c>
      <c r="D4" s="4">
        <v>857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46296</v>
      </c>
      <c r="B5" s="9">
        <v>0.56664351851851846</v>
      </c>
      <c r="C5" s="6">
        <v>3.2929689999999998</v>
      </c>
      <c r="D5" s="4">
        <v>858</v>
      </c>
      <c r="E5" s="4" t="s">
        <v>39</v>
      </c>
      <c r="F5" s="10">
        <v>0.52</v>
      </c>
      <c r="G5" s="4" t="s">
        <v>37</v>
      </c>
    </row>
    <row r="6" spans="1:9" x14ac:dyDescent="0.2">
      <c r="A6" s="8">
        <v>46296</v>
      </c>
      <c r="B6" s="9">
        <v>0.56665509259259261</v>
      </c>
      <c r="C6" s="6">
        <v>3.8085939999999998</v>
      </c>
      <c r="D6" s="4">
        <v>856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46296</v>
      </c>
      <c r="B7" s="9">
        <v>0.56665509259259261</v>
      </c>
      <c r="C7" s="6">
        <v>4.3085940000000003</v>
      </c>
      <c r="D7" s="4">
        <v>856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46296</v>
      </c>
      <c r="B8" s="9">
        <v>0.56666666666666665</v>
      </c>
      <c r="C8" s="6">
        <v>4.8242190000000003</v>
      </c>
      <c r="D8" s="4">
        <v>854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46296</v>
      </c>
      <c r="B9" s="9">
        <v>0.56666666666666665</v>
      </c>
      <c r="C9" s="6">
        <v>5.3242190000000003</v>
      </c>
      <c r="D9" s="4">
        <v>854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46296</v>
      </c>
      <c r="B10" s="9">
        <v>0.56667824074074069</v>
      </c>
      <c r="C10" s="6">
        <v>5.8242190000000003</v>
      </c>
      <c r="D10" s="4">
        <v>854</v>
      </c>
      <c r="E10" s="4" t="s">
        <v>38</v>
      </c>
      <c r="F10" s="10" t="s">
        <v>26</v>
      </c>
      <c r="G10" s="4">
        <v>21</v>
      </c>
    </row>
    <row r="11" spans="1:9" x14ac:dyDescent="0.2">
      <c r="A11" s="8">
        <v>46296</v>
      </c>
      <c r="B11" s="9">
        <v>0.56667824074074069</v>
      </c>
      <c r="C11" s="6">
        <v>6.3554690000000003</v>
      </c>
      <c r="D11" s="4">
        <v>854</v>
      </c>
      <c r="E11" s="4" t="s">
        <v>38</v>
      </c>
      <c r="F11" s="4" t="s">
        <v>38</v>
      </c>
      <c r="G11" s="4">
        <v>4112</v>
      </c>
    </row>
    <row r="12" spans="1:9" x14ac:dyDescent="0.2">
      <c r="A12" s="8">
        <v>46296</v>
      </c>
      <c r="B12" s="9">
        <v>0.56668981481481484</v>
      </c>
      <c r="C12" s="6">
        <v>6.8867190000000003</v>
      </c>
      <c r="D12" s="4">
        <v>852</v>
      </c>
      <c r="E12" s="4" t="s">
        <v>38</v>
      </c>
      <c r="F12" s="4" t="s">
        <v>38</v>
      </c>
      <c r="G12" s="4">
        <v>4112</v>
      </c>
    </row>
    <row r="13" spans="1:9" x14ac:dyDescent="0.2">
      <c r="A13" s="8">
        <v>46296</v>
      </c>
      <c r="B13" s="9">
        <v>0.56668981481481484</v>
      </c>
      <c r="C13" s="6">
        <v>7.4179690000000003</v>
      </c>
      <c r="D13" s="4">
        <v>852</v>
      </c>
      <c r="E13" s="4" t="s">
        <v>39</v>
      </c>
      <c r="F13" s="10">
        <v>0.52</v>
      </c>
      <c r="G13" s="4" t="s">
        <v>37</v>
      </c>
    </row>
    <row r="14" spans="1:9" x14ac:dyDescent="0.2">
      <c r="A14" s="8">
        <v>46296</v>
      </c>
      <c r="B14" s="9">
        <v>0.56670138888888888</v>
      </c>
      <c r="C14" s="6">
        <v>7.9335940000000003</v>
      </c>
      <c r="D14" s="4">
        <v>851</v>
      </c>
      <c r="E14" s="4" t="s">
        <v>35</v>
      </c>
      <c r="F14" s="4" t="s">
        <v>35</v>
      </c>
      <c r="G14" s="4" t="s">
        <v>35</v>
      </c>
    </row>
    <row r="15" spans="1:9" x14ac:dyDescent="0.2">
      <c r="A15" s="8">
        <v>46296</v>
      </c>
      <c r="B15" s="9">
        <v>0.56670138888888888</v>
      </c>
      <c r="C15" s="6">
        <v>8.4335939999999994</v>
      </c>
      <c r="D15" s="4">
        <v>852</v>
      </c>
      <c r="E15" s="4" t="s">
        <v>35</v>
      </c>
      <c r="F15" s="10" t="s">
        <v>24</v>
      </c>
      <c r="G15" s="4" t="s">
        <v>35</v>
      </c>
    </row>
    <row r="16" spans="1:9" x14ac:dyDescent="0.2">
      <c r="A16" s="8">
        <v>46296</v>
      </c>
      <c r="B16" s="9">
        <v>0.56671296296296292</v>
      </c>
      <c r="C16" s="6">
        <v>8.9492189999999994</v>
      </c>
      <c r="D16" s="4">
        <v>852</v>
      </c>
      <c r="E16" s="4" t="s">
        <v>35</v>
      </c>
      <c r="F16" s="4" t="s">
        <v>35</v>
      </c>
      <c r="G16" s="4" t="s">
        <v>35</v>
      </c>
    </row>
    <row r="17" spans="1:7" x14ac:dyDescent="0.2">
      <c r="A17" s="8">
        <v>46296</v>
      </c>
      <c r="B17" s="9">
        <v>0.56671296296296292</v>
      </c>
      <c r="C17" s="6">
        <v>9.4492189999999994</v>
      </c>
      <c r="D17" s="4">
        <v>850</v>
      </c>
      <c r="E17" s="4" t="s">
        <v>35</v>
      </c>
      <c r="F17" s="4" t="s">
        <v>35</v>
      </c>
      <c r="G17" s="4" t="s">
        <v>35</v>
      </c>
    </row>
    <row r="18" spans="1:7" x14ac:dyDescent="0.2">
      <c r="A18" s="8">
        <v>46296</v>
      </c>
      <c r="B18" s="9">
        <v>0.56672453703703707</v>
      </c>
      <c r="C18" s="6">
        <v>9.9648439999999994</v>
      </c>
      <c r="D18" s="4">
        <v>850</v>
      </c>
      <c r="E18" s="4" t="s">
        <v>39</v>
      </c>
      <c r="F18" s="10">
        <v>0.52</v>
      </c>
      <c r="G18" s="4" t="s">
        <v>37</v>
      </c>
    </row>
    <row r="19" spans="1:7" x14ac:dyDescent="0.2">
      <c r="A19" s="8">
        <v>46296</v>
      </c>
      <c r="B19" s="9">
        <v>0.56672453703703707</v>
      </c>
      <c r="C19" s="6">
        <v>10.48047</v>
      </c>
      <c r="D19" s="4">
        <v>850</v>
      </c>
      <c r="E19" s="4" t="s">
        <v>35</v>
      </c>
      <c r="F19" s="4" t="s">
        <v>35</v>
      </c>
      <c r="G19" s="4" t="s">
        <v>35</v>
      </c>
    </row>
    <row r="20" spans="1:7" x14ac:dyDescent="0.2">
      <c r="A20" s="8">
        <v>46296</v>
      </c>
      <c r="B20" s="9">
        <v>0.56673611111111111</v>
      </c>
      <c r="C20" s="6">
        <v>10.98047</v>
      </c>
      <c r="D20" s="4">
        <v>851</v>
      </c>
      <c r="E20" s="4" t="s">
        <v>35</v>
      </c>
      <c r="F20" s="4" t="s">
        <v>35</v>
      </c>
      <c r="G20" s="4" t="s">
        <v>24</v>
      </c>
    </row>
    <row r="21" spans="1:7" x14ac:dyDescent="0.2">
      <c r="A21" s="8">
        <v>46296</v>
      </c>
      <c r="B21" s="9">
        <v>0.56673611111111111</v>
      </c>
      <c r="C21" s="6">
        <v>11.496090000000001</v>
      </c>
      <c r="D21" s="4">
        <v>850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8"/>
      <c r="C22" s="8"/>
      <c r="D22" s="8"/>
      <c r="E22" s="8"/>
      <c r="F22" s="8"/>
      <c r="G22" s="8"/>
    </row>
    <row r="23" spans="1:7" x14ac:dyDescent="0.2">
      <c r="A23" s="8"/>
      <c r="B23" s="8"/>
      <c r="C23" s="8"/>
      <c r="D23" s="8"/>
      <c r="E23" s="8"/>
      <c r="F23" s="8"/>
      <c r="G23" s="8"/>
    </row>
    <row r="24" spans="1:7" x14ac:dyDescent="0.2">
      <c r="A24" s="8"/>
      <c r="B24" s="8"/>
      <c r="C24" s="8"/>
      <c r="D24" s="8"/>
      <c r="E24" s="8"/>
      <c r="F24" s="8"/>
      <c r="G24" s="8"/>
    </row>
    <row r="25" spans="1:7" x14ac:dyDescent="0.2">
      <c r="A25" s="8"/>
      <c r="B25" s="8"/>
      <c r="C25" s="8"/>
      <c r="D25" s="8"/>
      <c r="E25" s="8"/>
      <c r="F25" s="8"/>
      <c r="G25" s="8"/>
    </row>
    <row r="26" spans="1:7" x14ac:dyDescent="0.2">
      <c r="A26" s="8"/>
      <c r="B26" s="8"/>
      <c r="C26" s="8"/>
      <c r="D26" s="8"/>
      <c r="E26" s="8"/>
      <c r="F26" s="8"/>
      <c r="G26" s="8"/>
    </row>
    <row r="27" spans="1:7" x14ac:dyDescent="0.2">
      <c r="A27" s="8"/>
      <c r="B27" s="8"/>
      <c r="C27" s="8"/>
      <c r="D27" s="8"/>
      <c r="E27" s="8"/>
      <c r="F27" s="8"/>
      <c r="G27" s="8"/>
    </row>
    <row r="28" spans="1:7" x14ac:dyDescent="0.2">
      <c r="A28" s="8"/>
      <c r="B28" s="8"/>
      <c r="C28" s="8"/>
      <c r="D28" s="8"/>
      <c r="E28" s="8"/>
      <c r="F28" s="8"/>
      <c r="G28" s="8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E69FB-8793-4F2E-8923-E16AF6B71086}">
  <dimension ref="A1:I73"/>
  <sheetViews>
    <sheetView topLeftCell="A22" workbookViewId="0">
      <selection activeCell="H33" sqref="H33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46296</v>
      </c>
      <c r="B2" s="9">
        <v>0.57101851851851848</v>
      </c>
      <c r="C2" s="6">
        <v>1.800781</v>
      </c>
      <c r="D2" s="4">
        <v>848</v>
      </c>
      <c r="E2" s="4" t="s">
        <v>35</v>
      </c>
      <c r="F2" s="4" t="s">
        <v>35</v>
      </c>
      <c r="G2" s="4" t="s">
        <v>35</v>
      </c>
      <c r="I2">
        <f>AVERAGE(D2:D21)</f>
        <v>847.15</v>
      </c>
    </row>
    <row r="3" spans="1:9" x14ac:dyDescent="0.2">
      <c r="A3" s="8">
        <v>46296</v>
      </c>
      <c r="B3" s="9">
        <v>0.57101851851851848</v>
      </c>
      <c r="C3" s="6">
        <v>2.2695310000000002</v>
      </c>
      <c r="D3" s="4">
        <v>848</v>
      </c>
      <c r="E3" s="4" t="s">
        <v>35</v>
      </c>
      <c r="F3" s="4" t="s">
        <v>35</v>
      </c>
      <c r="G3" s="4" t="s">
        <v>35</v>
      </c>
      <c r="I3">
        <f>91*(1023-I2)/I2</f>
        <v>18.889629935666651</v>
      </c>
    </row>
    <row r="4" spans="1:9" x14ac:dyDescent="0.2">
      <c r="A4" s="8">
        <v>46296</v>
      </c>
      <c r="B4" s="9">
        <v>0.57103009259259263</v>
      </c>
      <c r="C4" s="6">
        <v>2.7695310000000002</v>
      </c>
      <c r="D4" s="4">
        <v>849</v>
      </c>
      <c r="E4" s="4" t="s">
        <v>35</v>
      </c>
      <c r="F4" s="4" t="s">
        <v>35</v>
      </c>
      <c r="G4" s="4" t="s">
        <v>35</v>
      </c>
    </row>
    <row r="5" spans="1:9" x14ac:dyDescent="0.2">
      <c r="A5" s="8">
        <v>46296</v>
      </c>
      <c r="B5" s="9">
        <v>0.57103009259259263</v>
      </c>
      <c r="C5" s="6">
        <v>3.3007810000000002</v>
      </c>
      <c r="D5" s="4">
        <v>849</v>
      </c>
      <c r="E5" s="4" t="s">
        <v>39</v>
      </c>
      <c r="F5" s="10">
        <v>0.5</v>
      </c>
      <c r="G5" s="4" t="s">
        <v>37</v>
      </c>
    </row>
    <row r="6" spans="1:9" x14ac:dyDescent="0.2">
      <c r="A6" s="8">
        <v>46296</v>
      </c>
      <c r="B6" s="9">
        <v>0.57104166666666667</v>
      </c>
      <c r="C6" s="6">
        <v>3.8164060000000002</v>
      </c>
      <c r="D6" s="4">
        <v>849</v>
      </c>
      <c r="E6" s="4" t="s">
        <v>35</v>
      </c>
      <c r="F6" s="4" t="s">
        <v>35</v>
      </c>
      <c r="G6" s="4" t="s">
        <v>35</v>
      </c>
    </row>
    <row r="7" spans="1:9" x14ac:dyDescent="0.2">
      <c r="A7" s="8">
        <v>46296</v>
      </c>
      <c r="B7" s="9">
        <v>0.57104166666666667</v>
      </c>
      <c r="C7" s="6">
        <v>4.3164059999999997</v>
      </c>
      <c r="D7" s="4">
        <v>849</v>
      </c>
      <c r="E7" s="4" t="s">
        <v>35</v>
      </c>
      <c r="F7" s="4" t="s">
        <v>35</v>
      </c>
      <c r="G7" s="4" t="s">
        <v>35</v>
      </c>
    </row>
    <row r="8" spans="1:9" x14ac:dyDescent="0.2">
      <c r="A8" s="8">
        <v>46296</v>
      </c>
      <c r="B8" s="9">
        <v>0.57105324074074071</v>
      </c>
      <c r="C8" s="6">
        <v>4.8164059999999997</v>
      </c>
      <c r="D8" s="4">
        <v>850</v>
      </c>
      <c r="E8" s="4" t="s">
        <v>35</v>
      </c>
      <c r="F8" s="4" t="s">
        <v>35</v>
      </c>
      <c r="G8" s="4" t="s">
        <v>35</v>
      </c>
    </row>
    <row r="9" spans="1:9" x14ac:dyDescent="0.2">
      <c r="A9" s="8">
        <v>46296</v>
      </c>
      <c r="B9" s="9">
        <v>0.57105324074074071</v>
      </c>
      <c r="C9" s="6">
        <v>5.3164059999999997</v>
      </c>
      <c r="D9" s="4">
        <v>848</v>
      </c>
      <c r="E9" s="4" t="s">
        <v>35</v>
      </c>
      <c r="F9" s="4" t="s">
        <v>35</v>
      </c>
      <c r="G9" s="4" t="s">
        <v>35</v>
      </c>
    </row>
    <row r="10" spans="1:9" x14ac:dyDescent="0.2">
      <c r="A10" s="8">
        <v>46296</v>
      </c>
      <c r="B10" s="9">
        <v>0.57106481481481486</v>
      </c>
      <c r="C10" s="6">
        <v>5.8320309999999997</v>
      </c>
      <c r="D10" s="4">
        <v>847</v>
      </c>
      <c r="E10" s="4" t="s">
        <v>38</v>
      </c>
      <c r="F10" s="10" t="s">
        <v>38</v>
      </c>
      <c r="G10" s="4">
        <v>21</v>
      </c>
    </row>
    <row r="11" spans="1:9" x14ac:dyDescent="0.2">
      <c r="A11" s="8">
        <v>46296</v>
      </c>
      <c r="B11" s="9">
        <v>0.57106481481481486</v>
      </c>
      <c r="C11" s="6">
        <v>6.3632809999999997</v>
      </c>
      <c r="D11" s="4">
        <v>847</v>
      </c>
      <c r="E11" s="4" t="s">
        <v>38</v>
      </c>
      <c r="F11" s="4" t="s">
        <v>38</v>
      </c>
      <c r="G11" s="4">
        <v>4112</v>
      </c>
    </row>
    <row r="12" spans="1:9" x14ac:dyDescent="0.2">
      <c r="A12" s="8">
        <v>46296</v>
      </c>
      <c r="B12" s="9">
        <v>0.5710763888888889</v>
      </c>
      <c r="C12" s="6">
        <v>6.8789059999999997</v>
      </c>
      <c r="D12" s="4">
        <v>845</v>
      </c>
      <c r="E12" s="4" t="s">
        <v>38</v>
      </c>
      <c r="F12" s="10" t="s">
        <v>26</v>
      </c>
      <c r="G12" s="4">
        <v>4112</v>
      </c>
    </row>
    <row r="13" spans="1:9" x14ac:dyDescent="0.2">
      <c r="A13" s="8">
        <v>46296</v>
      </c>
      <c r="B13" s="9">
        <v>0.5710763888888889</v>
      </c>
      <c r="C13" s="6">
        <v>7.4101559999999997</v>
      </c>
      <c r="D13" s="4">
        <v>847</v>
      </c>
      <c r="E13" s="4" t="s">
        <v>38</v>
      </c>
      <c r="F13" s="4" t="s">
        <v>38</v>
      </c>
      <c r="G13" s="4">
        <v>21</v>
      </c>
    </row>
    <row r="14" spans="1:9" x14ac:dyDescent="0.2">
      <c r="A14" s="8">
        <v>46296</v>
      </c>
      <c r="B14" s="9">
        <v>0.57108796296296294</v>
      </c>
      <c r="C14" s="6">
        <v>7.9414059999999997</v>
      </c>
      <c r="D14" s="4">
        <v>847</v>
      </c>
      <c r="E14" s="4" t="s">
        <v>38</v>
      </c>
      <c r="F14" s="4" t="s">
        <v>38</v>
      </c>
      <c r="G14" s="4">
        <v>4112</v>
      </c>
    </row>
    <row r="15" spans="1:9" x14ac:dyDescent="0.2">
      <c r="A15" s="8">
        <v>46296</v>
      </c>
      <c r="B15" s="9">
        <v>0.57109953703703709</v>
      </c>
      <c r="C15" s="6">
        <v>8.4570310000000006</v>
      </c>
      <c r="D15" s="4">
        <v>846</v>
      </c>
      <c r="E15" s="4" t="s">
        <v>38</v>
      </c>
      <c r="F15" s="10" t="s">
        <v>38</v>
      </c>
      <c r="G15" s="4">
        <v>4112</v>
      </c>
    </row>
    <row r="16" spans="1:9" x14ac:dyDescent="0.2">
      <c r="A16" s="8">
        <v>46296</v>
      </c>
      <c r="B16" s="9">
        <v>0.57109953703703709</v>
      </c>
      <c r="C16" s="6">
        <v>8.9882810000000006</v>
      </c>
      <c r="D16" s="4">
        <v>845</v>
      </c>
      <c r="E16" s="4" t="s">
        <v>38</v>
      </c>
      <c r="F16" s="4" t="s">
        <v>38</v>
      </c>
      <c r="G16" s="4">
        <v>21</v>
      </c>
    </row>
    <row r="17" spans="1:7" x14ac:dyDescent="0.2">
      <c r="A17" s="8">
        <v>46296</v>
      </c>
      <c r="B17" s="9">
        <v>0.57111111111111112</v>
      </c>
      <c r="C17" s="6">
        <v>9.5195310000000006</v>
      </c>
      <c r="D17" s="4">
        <v>847</v>
      </c>
      <c r="E17" s="4" t="s">
        <v>38</v>
      </c>
      <c r="F17" s="10" t="s">
        <v>26</v>
      </c>
      <c r="G17" s="4">
        <v>4112</v>
      </c>
    </row>
    <row r="18" spans="1:7" x14ac:dyDescent="0.2">
      <c r="A18" s="8">
        <v>46296</v>
      </c>
      <c r="B18" s="9">
        <v>0.57111111111111112</v>
      </c>
      <c r="C18" s="6">
        <v>10.05078</v>
      </c>
      <c r="D18" s="4">
        <v>846</v>
      </c>
      <c r="E18" s="4" t="s">
        <v>38</v>
      </c>
      <c r="F18" s="4" t="s">
        <v>38</v>
      </c>
      <c r="G18" s="4">
        <v>4112</v>
      </c>
    </row>
    <row r="19" spans="1:7" x14ac:dyDescent="0.2">
      <c r="A19" s="8">
        <v>46296</v>
      </c>
      <c r="B19" s="9">
        <v>0.57112268518518516</v>
      </c>
      <c r="C19" s="6">
        <v>10.58203</v>
      </c>
      <c r="D19" s="4">
        <v>846</v>
      </c>
      <c r="E19" s="4" t="s">
        <v>38</v>
      </c>
      <c r="F19" s="4" t="s">
        <v>38</v>
      </c>
      <c r="G19" s="4">
        <v>21</v>
      </c>
    </row>
    <row r="20" spans="1:7" x14ac:dyDescent="0.2">
      <c r="A20" s="8">
        <v>46296</v>
      </c>
      <c r="B20" s="9">
        <v>0.57112268518518516</v>
      </c>
      <c r="C20" s="6">
        <v>11.097659999999999</v>
      </c>
      <c r="D20" s="4">
        <v>845</v>
      </c>
      <c r="E20" s="4" t="s">
        <v>38</v>
      </c>
      <c r="F20" s="10" t="s">
        <v>38</v>
      </c>
      <c r="G20" s="4">
        <v>4112</v>
      </c>
    </row>
    <row r="21" spans="1:7" x14ac:dyDescent="0.2">
      <c r="A21" s="8">
        <v>46296</v>
      </c>
      <c r="B21" s="9">
        <v>0.57113425925925931</v>
      </c>
      <c r="C21" s="6">
        <v>11.628909999999999</v>
      </c>
      <c r="D21" s="4">
        <v>845</v>
      </c>
      <c r="E21" s="4" t="s">
        <v>38</v>
      </c>
      <c r="F21" s="4" t="s">
        <v>38</v>
      </c>
      <c r="G21" s="4">
        <v>3088</v>
      </c>
    </row>
    <row r="22" spans="1:7" x14ac:dyDescent="0.2">
      <c r="A22" s="8"/>
      <c r="B22" s="9">
        <v>0.57113425925925931</v>
      </c>
      <c r="C22" s="6">
        <v>12.15625</v>
      </c>
      <c r="D22" s="4">
        <v>845</v>
      </c>
      <c r="E22" s="4" t="s">
        <v>38</v>
      </c>
      <c r="F22" s="10" t="s">
        <v>26</v>
      </c>
      <c r="G22" s="4">
        <v>21</v>
      </c>
    </row>
    <row r="23" spans="1:7" x14ac:dyDescent="0.2">
      <c r="A23" s="8">
        <v>46296</v>
      </c>
      <c r="B23" s="9">
        <v>0.57114583333333335</v>
      </c>
      <c r="C23" s="6">
        <v>12.6875</v>
      </c>
      <c r="D23" s="4">
        <v>846</v>
      </c>
      <c r="E23" s="4" t="s">
        <v>38</v>
      </c>
      <c r="F23" s="4" t="s">
        <v>38</v>
      </c>
      <c r="G23" s="4">
        <v>4112</v>
      </c>
    </row>
    <row r="24" spans="1:7" x14ac:dyDescent="0.2">
      <c r="A24" s="8">
        <v>46296</v>
      </c>
      <c r="B24" s="9">
        <v>0.57114583333333335</v>
      </c>
      <c r="C24" s="6">
        <v>13.20313</v>
      </c>
      <c r="D24" s="4">
        <v>844</v>
      </c>
      <c r="E24" s="4" t="s">
        <v>38</v>
      </c>
      <c r="F24" s="4" t="s">
        <v>38</v>
      </c>
      <c r="G24" s="4">
        <v>3088</v>
      </c>
    </row>
    <row r="25" spans="1:7" x14ac:dyDescent="0.2">
      <c r="A25" s="8">
        <v>46296</v>
      </c>
      <c r="B25" s="9">
        <v>0.57115740740740739</v>
      </c>
      <c r="C25" s="6">
        <v>13.75</v>
      </c>
      <c r="D25" s="4">
        <v>844</v>
      </c>
      <c r="E25" s="4" t="s">
        <v>27</v>
      </c>
      <c r="F25" s="10">
        <v>0.5</v>
      </c>
      <c r="G25" s="4" t="s">
        <v>25</v>
      </c>
    </row>
    <row r="26" spans="1:7" x14ac:dyDescent="0.2">
      <c r="A26" s="8">
        <v>46296</v>
      </c>
      <c r="B26" s="9">
        <v>0.57115740740740739</v>
      </c>
      <c r="C26" s="6">
        <v>14.26563</v>
      </c>
      <c r="D26" s="4">
        <v>843</v>
      </c>
      <c r="E26" s="4" t="s">
        <v>24</v>
      </c>
      <c r="F26" s="4" t="s">
        <v>24</v>
      </c>
      <c r="G26" s="4" t="s">
        <v>24</v>
      </c>
    </row>
    <row r="27" spans="1:7" x14ac:dyDescent="0.2">
      <c r="A27" s="8">
        <v>46296</v>
      </c>
      <c r="B27" s="9">
        <v>0.57116898148148143</v>
      </c>
      <c r="C27" s="6">
        <v>14.76563</v>
      </c>
      <c r="D27" s="4">
        <v>853</v>
      </c>
      <c r="E27" s="4" t="s">
        <v>24</v>
      </c>
      <c r="F27" s="4" t="s">
        <v>24</v>
      </c>
      <c r="G27" s="4" t="s">
        <v>24</v>
      </c>
    </row>
    <row r="28" spans="1:7" x14ac:dyDescent="0.2">
      <c r="A28" s="8">
        <v>46296</v>
      </c>
      <c r="B28" s="9">
        <v>0.57116898148148143</v>
      </c>
      <c r="C28" s="6">
        <v>15.26563</v>
      </c>
      <c r="D28" s="4">
        <v>860</v>
      </c>
      <c r="E28" s="4" t="s">
        <v>24</v>
      </c>
      <c r="F28" s="4" t="s">
        <v>24</v>
      </c>
      <c r="G28" s="4" t="s">
        <v>24</v>
      </c>
    </row>
    <row r="29" spans="1:7" x14ac:dyDescent="0.2">
      <c r="A29" s="8">
        <v>46296</v>
      </c>
      <c r="B29" s="9">
        <v>0.57118055555555558</v>
      </c>
      <c r="C29" s="6">
        <v>15.76563</v>
      </c>
      <c r="D29" s="4">
        <v>865</v>
      </c>
      <c r="E29" s="4" t="s">
        <v>24</v>
      </c>
      <c r="F29" s="4" t="s">
        <v>24</v>
      </c>
      <c r="G29" s="4" t="s">
        <v>24</v>
      </c>
    </row>
    <row r="30" spans="1:7" x14ac:dyDescent="0.2">
      <c r="A30" s="8">
        <v>46296</v>
      </c>
      <c r="B30" s="9">
        <v>0.57118055555555558</v>
      </c>
      <c r="C30" s="6">
        <v>16.28125</v>
      </c>
      <c r="D30" s="4">
        <v>864</v>
      </c>
      <c r="E30" s="4" t="s">
        <v>27</v>
      </c>
      <c r="F30" s="10">
        <v>0.5</v>
      </c>
      <c r="G30" s="4" t="s">
        <v>25</v>
      </c>
    </row>
    <row r="31" spans="1:7" x14ac:dyDescent="0.2">
      <c r="A31" s="8">
        <v>46296</v>
      </c>
      <c r="B31" s="9">
        <v>0.57119212962962962</v>
      </c>
      <c r="C31" s="6">
        <v>16.8125</v>
      </c>
      <c r="D31" s="4">
        <v>862</v>
      </c>
      <c r="E31" s="4" t="s">
        <v>24</v>
      </c>
      <c r="F31" s="4" t="s">
        <v>24</v>
      </c>
      <c r="G31" s="4" t="s">
        <v>24</v>
      </c>
    </row>
    <row r="32" spans="1:7" x14ac:dyDescent="0.2">
      <c r="A32" s="8">
        <v>46296</v>
      </c>
      <c r="B32" s="9">
        <v>0.57119212962962962</v>
      </c>
      <c r="C32" s="6">
        <v>17.304690000000001</v>
      </c>
      <c r="D32" s="4">
        <v>862</v>
      </c>
      <c r="E32" s="4" t="s">
        <v>24</v>
      </c>
      <c r="F32" s="4" t="s">
        <v>24</v>
      </c>
      <c r="G32" s="4" t="s">
        <v>24</v>
      </c>
    </row>
    <row r="33" spans="1:7" x14ac:dyDescent="0.2">
      <c r="A33" s="8">
        <v>46296</v>
      </c>
      <c r="B33" s="9">
        <v>0.57120370370370366</v>
      </c>
      <c r="C33" s="6">
        <v>17.808589999999999</v>
      </c>
      <c r="D33" s="4">
        <v>864</v>
      </c>
      <c r="E33" s="4" t="s">
        <v>24</v>
      </c>
      <c r="F33" s="4" t="s">
        <v>24</v>
      </c>
      <c r="G33" s="4" t="s">
        <v>24</v>
      </c>
    </row>
    <row r="34" spans="1:7" x14ac:dyDescent="0.2">
      <c r="A34" s="8">
        <v>46296</v>
      </c>
      <c r="B34" s="9">
        <v>0.57120370370370366</v>
      </c>
      <c r="C34" s="6">
        <v>18.308589999999999</v>
      </c>
      <c r="D34" s="4">
        <v>863</v>
      </c>
      <c r="E34" s="4" t="s">
        <v>24</v>
      </c>
      <c r="F34" s="4" t="s">
        <v>24</v>
      </c>
      <c r="G34" s="4" t="s">
        <v>24</v>
      </c>
    </row>
    <row r="35" spans="1:7" x14ac:dyDescent="0.2">
      <c r="A35" s="8">
        <v>46296</v>
      </c>
      <c r="B35" s="9">
        <v>0.57121527777777781</v>
      </c>
      <c r="C35" s="6">
        <v>18.839839999999999</v>
      </c>
      <c r="D35" s="4">
        <v>862</v>
      </c>
      <c r="E35" s="4" t="s">
        <v>27</v>
      </c>
      <c r="F35" s="10">
        <v>0.5</v>
      </c>
      <c r="G35" s="4" t="s">
        <v>25</v>
      </c>
    </row>
    <row r="36" spans="1:7" x14ac:dyDescent="0.2">
      <c r="A36" s="8">
        <v>46296</v>
      </c>
      <c r="B36" s="9">
        <v>0.57121527777777781</v>
      </c>
      <c r="C36" s="6">
        <v>19.35547</v>
      </c>
      <c r="D36" s="4">
        <v>862</v>
      </c>
      <c r="E36" s="4" t="s">
        <v>24</v>
      </c>
      <c r="F36" s="4" t="s">
        <v>24</v>
      </c>
      <c r="G36" s="4" t="s">
        <v>24</v>
      </c>
    </row>
    <row r="37" spans="1:7" x14ac:dyDescent="0.2">
      <c r="A37" s="8">
        <v>46296</v>
      </c>
      <c r="B37" s="9">
        <v>0.57122685185185185</v>
      </c>
      <c r="C37" s="6">
        <v>19.85547</v>
      </c>
      <c r="D37" s="4">
        <v>862</v>
      </c>
      <c r="E37" s="4" t="s">
        <v>24</v>
      </c>
      <c r="F37" s="4" t="s">
        <v>24</v>
      </c>
      <c r="G37" s="4" t="s">
        <v>24</v>
      </c>
    </row>
    <row r="38" spans="1:7" x14ac:dyDescent="0.2">
      <c r="A38" s="8">
        <v>46296</v>
      </c>
      <c r="B38" s="9">
        <v>0.57122685185185185</v>
      </c>
      <c r="C38" s="6">
        <v>20.35547</v>
      </c>
      <c r="D38" s="4">
        <v>862</v>
      </c>
      <c r="E38" s="4" t="s">
        <v>24</v>
      </c>
      <c r="F38" s="4" t="s">
        <v>24</v>
      </c>
      <c r="G38" s="4" t="s">
        <v>24</v>
      </c>
    </row>
    <row r="39" spans="1:7" x14ac:dyDescent="0.2">
      <c r="A39" s="8">
        <v>46296</v>
      </c>
      <c r="B39" s="9">
        <v>0.57123842592592589</v>
      </c>
      <c r="C39" s="6">
        <v>20.85547</v>
      </c>
      <c r="D39" s="4">
        <v>865</v>
      </c>
      <c r="E39" s="4" t="s">
        <v>24</v>
      </c>
      <c r="F39" s="4" t="s">
        <v>24</v>
      </c>
      <c r="G39" s="4" t="s">
        <v>24</v>
      </c>
    </row>
    <row r="40" spans="1:7" x14ac:dyDescent="0.2">
      <c r="A40" s="8">
        <v>46296</v>
      </c>
      <c r="B40" s="9">
        <v>0.57123842592592589</v>
      </c>
      <c r="C40" s="6">
        <v>21.371089999999999</v>
      </c>
      <c r="D40" s="4">
        <v>868</v>
      </c>
      <c r="E40" s="4" t="s">
        <v>27</v>
      </c>
      <c r="F40" s="10">
        <v>0.5</v>
      </c>
      <c r="G40" s="4" t="s">
        <v>25</v>
      </c>
    </row>
    <row r="41" spans="1:7" x14ac:dyDescent="0.2">
      <c r="A41" s="8">
        <v>46296</v>
      </c>
      <c r="B41" s="9">
        <v>0.57125000000000004</v>
      </c>
      <c r="C41" s="6">
        <v>21.898440000000001</v>
      </c>
      <c r="D41" s="4">
        <v>832</v>
      </c>
      <c r="E41" s="4" t="s">
        <v>24</v>
      </c>
      <c r="F41" s="4" t="s">
        <v>24</v>
      </c>
      <c r="G41" s="4" t="s">
        <v>24</v>
      </c>
    </row>
    <row r="42" spans="1:7" x14ac:dyDescent="0.2">
      <c r="A42" s="8">
        <v>46296</v>
      </c>
      <c r="B42" s="9">
        <v>0.57125000000000004</v>
      </c>
      <c r="C42" s="6">
        <v>22.398440000000001</v>
      </c>
      <c r="D42" s="4">
        <v>828</v>
      </c>
      <c r="E42" s="4" t="s">
        <v>24</v>
      </c>
      <c r="F42" s="4" t="s">
        <v>24</v>
      </c>
      <c r="G42" s="4" t="s">
        <v>24</v>
      </c>
    </row>
    <row r="43" spans="1:7" x14ac:dyDescent="0.2">
      <c r="A43" s="8">
        <v>46296</v>
      </c>
      <c r="B43" s="9">
        <v>0.57126157407407407</v>
      </c>
      <c r="C43" s="6">
        <v>22.898440000000001</v>
      </c>
      <c r="D43" s="4">
        <v>842</v>
      </c>
      <c r="E43" s="4" t="s">
        <v>24</v>
      </c>
      <c r="F43" s="4" t="s">
        <v>24</v>
      </c>
      <c r="G43" s="4" t="s">
        <v>24</v>
      </c>
    </row>
    <row r="44" spans="1:7" x14ac:dyDescent="0.2">
      <c r="A44" s="8">
        <v>46296</v>
      </c>
      <c r="B44" s="9">
        <v>0.57126157407407407</v>
      </c>
      <c r="C44" s="6">
        <v>23.398440000000001</v>
      </c>
      <c r="D44" s="4">
        <v>846</v>
      </c>
      <c r="E44" s="4" t="s">
        <v>24</v>
      </c>
      <c r="F44" s="4" t="s">
        <v>24</v>
      </c>
      <c r="G44" s="4" t="s">
        <v>24</v>
      </c>
    </row>
    <row r="45" spans="1:7" x14ac:dyDescent="0.2">
      <c r="A45" s="8">
        <v>46296</v>
      </c>
      <c r="B45" s="9">
        <v>0.57127314814814811</v>
      </c>
      <c r="C45" s="6">
        <v>23.914059999999999</v>
      </c>
      <c r="D45" s="4">
        <v>850</v>
      </c>
      <c r="E45" s="4" t="s">
        <v>26</v>
      </c>
      <c r="F45" s="4" t="s">
        <v>26</v>
      </c>
      <c r="G45" s="4">
        <v>21</v>
      </c>
    </row>
    <row r="46" spans="1:7" x14ac:dyDescent="0.2">
      <c r="A46" s="8">
        <v>46296</v>
      </c>
      <c r="B46" s="9">
        <v>0.57128472222222226</v>
      </c>
      <c r="C46" s="6">
        <v>24.445309999999999</v>
      </c>
      <c r="D46" s="4">
        <v>847</v>
      </c>
      <c r="E46" s="4" t="s">
        <v>26</v>
      </c>
      <c r="F46" s="4" t="s">
        <v>26</v>
      </c>
      <c r="G46" s="4">
        <v>4112</v>
      </c>
    </row>
    <row r="47" spans="1:7" x14ac:dyDescent="0.2">
      <c r="A47" s="8">
        <v>46296</v>
      </c>
      <c r="B47" s="9">
        <v>0.57128472222222226</v>
      </c>
      <c r="C47" s="6">
        <v>24.960940000000001</v>
      </c>
      <c r="D47" s="4">
        <v>848</v>
      </c>
      <c r="E47" s="4" t="s">
        <v>26</v>
      </c>
      <c r="F47" s="4" t="s">
        <v>26</v>
      </c>
      <c r="G47" s="4">
        <v>4112</v>
      </c>
    </row>
    <row r="48" spans="1:7" x14ac:dyDescent="0.2">
      <c r="A48" s="8">
        <v>46296</v>
      </c>
      <c r="B48" s="9">
        <v>0.5712962962962963</v>
      </c>
      <c r="C48" s="6">
        <v>25.492190000000001</v>
      </c>
      <c r="D48" s="4">
        <v>848</v>
      </c>
      <c r="E48" s="4" t="s">
        <v>26</v>
      </c>
      <c r="F48" s="4" t="s">
        <v>26</v>
      </c>
      <c r="G48" s="4">
        <v>21</v>
      </c>
    </row>
    <row r="49" spans="1:7" x14ac:dyDescent="0.2">
      <c r="A49" s="8">
        <v>46296</v>
      </c>
      <c r="B49" s="9">
        <v>0.5712962962962963</v>
      </c>
      <c r="C49" s="6">
        <v>26.023440000000001</v>
      </c>
      <c r="D49" s="4">
        <v>842</v>
      </c>
      <c r="E49" s="4" t="s">
        <v>26</v>
      </c>
      <c r="F49" s="4" t="s">
        <v>26</v>
      </c>
      <c r="G49" s="4">
        <v>4112</v>
      </c>
    </row>
    <row r="50" spans="1:7" x14ac:dyDescent="0.2">
      <c r="A50" s="8">
        <v>46296</v>
      </c>
      <c r="B50" s="9">
        <v>0.57130787037037034</v>
      </c>
      <c r="C50" s="6">
        <v>26.539059999999999</v>
      </c>
      <c r="D50" s="4">
        <v>813</v>
      </c>
      <c r="E50" s="4" t="s">
        <v>26</v>
      </c>
      <c r="F50" s="4" t="s">
        <v>26</v>
      </c>
      <c r="G50" s="4">
        <v>3088</v>
      </c>
    </row>
    <row r="51" spans="1:7" x14ac:dyDescent="0.2">
      <c r="A51" s="8">
        <v>46296</v>
      </c>
      <c r="B51" s="9">
        <v>0.57130787037037034</v>
      </c>
      <c r="C51" s="6">
        <v>27.070309999999999</v>
      </c>
      <c r="D51" s="4">
        <v>778</v>
      </c>
      <c r="E51" s="4" t="s">
        <v>26</v>
      </c>
      <c r="F51" s="4" t="s">
        <v>26</v>
      </c>
      <c r="G51" s="4">
        <v>21</v>
      </c>
    </row>
    <row r="52" spans="1:7" x14ac:dyDescent="0.2">
      <c r="A52" s="8">
        <v>46296</v>
      </c>
      <c r="B52" s="9">
        <v>0.57131944444444449</v>
      </c>
      <c r="C52" s="6">
        <v>27.601559999999999</v>
      </c>
      <c r="D52" s="4">
        <v>765</v>
      </c>
      <c r="E52" s="4" t="s">
        <v>26</v>
      </c>
      <c r="F52" s="4" t="s">
        <v>26</v>
      </c>
      <c r="G52" s="4">
        <v>4112</v>
      </c>
    </row>
    <row r="53" spans="1:7" x14ac:dyDescent="0.2">
      <c r="A53" s="8">
        <v>46296</v>
      </c>
      <c r="B53" s="9">
        <v>0.57131944444444449</v>
      </c>
      <c r="C53" s="6">
        <v>28.132809999999999</v>
      </c>
      <c r="D53" s="4">
        <v>764</v>
      </c>
      <c r="E53" s="4" t="s">
        <v>26</v>
      </c>
      <c r="F53" s="4" t="s">
        <v>26</v>
      </c>
      <c r="G53" s="4">
        <v>3088</v>
      </c>
    </row>
    <row r="54" spans="1:7" x14ac:dyDescent="0.2">
      <c r="A54" s="8">
        <v>46296</v>
      </c>
      <c r="B54" s="9">
        <v>0.57133101851851853</v>
      </c>
      <c r="C54" s="6">
        <v>28.664059999999999</v>
      </c>
      <c r="D54" s="4">
        <v>759</v>
      </c>
      <c r="E54" s="4" t="s">
        <v>27</v>
      </c>
      <c r="F54" s="10">
        <v>0.5</v>
      </c>
      <c r="G54" s="4" t="s">
        <v>25</v>
      </c>
    </row>
    <row r="55" spans="1:7" x14ac:dyDescent="0.2">
      <c r="A55" s="8">
        <v>46296</v>
      </c>
      <c r="B55" s="9">
        <v>0.57133101851851853</v>
      </c>
      <c r="C55" s="6">
        <v>29.179690000000001</v>
      </c>
      <c r="D55" s="4">
        <v>752</v>
      </c>
      <c r="E55" s="4" t="s">
        <v>24</v>
      </c>
      <c r="F55" s="4" t="s">
        <v>24</v>
      </c>
      <c r="G55" s="4" t="s">
        <v>24</v>
      </c>
    </row>
    <row r="56" spans="1:7" x14ac:dyDescent="0.2">
      <c r="A56" s="8">
        <v>46296</v>
      </c>
      <c r="B56" s="9">
        <v>0.57134259259259257</v>
      </c>
      <c r="C56" s="6">
        <v>29.679690000000001</v>
      </c>
      <c r="D56" s="4">
        <v>756</v>
      </c>
      <c r="E56" s="4" t="s">
        <v>24</v>
      </c>
      <c r="F56" s="4" t="s">
        <v>24</v>
      </c>
      <c r="G56" s="4" t="s">
        <v>24</v>
      </c>
    </row>
    <row r="57" spans="1:7" x14ac:dyDescent="0.2">
      <c r="A57" s="8">
        <v>46296</v>
      </c>
      <c r="B57" s="9">
        <v>0.57134259259259257</v>
      </c>
      <c r="C57" s="6">
        <v>30.195309999999999</v>
      </c>
      <c r="D57" s="4">
        <v>771</v>
      </c>
      <c r="E57" s="4" t="s">
        <v>24</v>
      </c>
      <c r="F57" s="4" t="s">
        <v>24</v>
      </c>
      <c r="G57" s="4" t="s">
        <v>24</v>
      </c>
    </row>
    <row r="58" spans="1:7" x14ac:dyDescent="0.2">
      <c r="A58" s="8">
        <v>46296</v>
      </c>
      <c r="B58" s="9">
        <v>0.57135416666666672</v>
      </c>
      <c r="C58" s="6">
        <v>30.695309999999999</v>
      </c>
      <c r="D58" s="4">
        <v>773</v>
      </c>
      <c r="E58" s="4" t="s">
        <v>24</v>
      </c>
      <c r="F58" s="4" t="s">
        <v>24</v>
      </c>
      <c r="G58" s="4" t="s">
        <v>24</v>
      </c>
    </row>
    <row r="59" spans="1:7" x14ac:dyDescent="0.2">
      <c r="A59" s="8">
        <v>46296</v>
      </c>
      <c r="B59" s="9">
        <v>0.57135416666666672</v>
      </c>
      <c r="C59" s="6">
        <v>31.210940000000001</v>
      </c>
      <c r="D59" s="4">
        <v>786</v>
      </c>
      <c r="E59" s="4" t="s">
        <v>27</v>
      </c>
      <c r="F59" s="10">
        <v>0.5</v>
      </c>
      <c r="G59" s="4" t="s">
        <v>25</v>
      </c>
    </row>
    <row r="60" spans="1:7" x14ac:dyDescent="0.2">
      <c r="A60" s="8">
        <v>46296</v>
      </c>
      <c r="B60" s="9">
        <v>0.57136574074074076</v>
      </c>
      <c r="C60" s="6">
        <v>31.726559999999999</v>
      </c>
      <c r="D60" s="4">
        <v>589</v>
      </c>
      <c r="E60" s="4" t="s">
        <v>24</v>
      </c>
      <c r="F60" s="4" t="s">
        <v>24</v>
      </c>
      <c r="G60" s="4" t="s">
        <v>24</v>
      </c>
    </row>
    <row r="61" spans="1:7" x14ac:dyDescent="0.2">
      <c r="A61" s="8">
        <v>46296</v>
      </c>
      <c r="B61" s="9">
        <v>0.57136574074074076</v>
      </c>
      <c r="C61" s="6">
        <v>32.226559999999999</v>
      </c>
      <c r="D61" s="4">
        <v>599</v>
      </c>
      <c r="E61" s="4" t="s">
        <v>24</v>
      </c>
      <c r="F61" s="4" t="s">
        <v>24</v>
      </c>
      <c r="G61" s="4" t="s">
        <v>24</v>
      </c>
    </row>
    <row r="62" spans="1:7" x14ac:dyDescent="0.2">
      <c r="A62" s="8">
        <v>46296</v>
      </c>
      <c r="B62" s="9">
        <v>0.5713773148148148</v>
      </c>
      <c r="C62" s="6">
        <v>32.726559999999999</v>
      </c>
      <c r="D62" s="4">
        <v>597</v>
      </c>
      <c r="E62" s="4" t="s">
        <v>24</v>
      </c>
      <c r="F62" s="4" t="s">
        <v>24</v>
      </c>
      <c r="G62" s="4" t="s">
        <v>24</v>
      </c>
    </row>
    <row r="63" spans="1:7" x14ac:dyDescent="0.2">
      <c r="A63" s="8">
        <v>46296</v>
      </c>
      <c r="B63" s="9">
        <v>0.5713773148148148</v>
      </c>
      <c r="C63" s="6">
        <v>33.226559999999999</v>
      </c>
      <c r="D63" s="4">
        <v>630</v>
      </c>
      <c r="E63" s="4" t="s">
        <v>24</v>
      </c>
      <c r="F63" s="4" t="s">
        <v>24</v>
      </c>
      <c r="G63" s="4" t="s">
        <v>24</v>
      </c>
    </row>
    <row r="64" spans="1:7" x14ac:dyDescent="0.2">
      <c r="A64" s="8">
        <v>46296</v>
      </c>
      <c r="B64" s="9">
        <v>0.57138888888888884</v>
      </c>
      <c r="C64" s="6">
        <v>33.757809999999999</v>
      </c>
      <c r="D64" s="4">
        <v>637</v>
      </c>
      <c r="E64" s="4" t="s">
        <v>27</v>
      </c>
      <c r="F64" s="10">
        <v>0.5</v>
      </c>
      <c r="G64" s="4" t="s">
        <v>25</v>
      </c>
    </row>
    <row r="65" spans="1:7" x14ac:dyDescent="0.2">
      <c r="A65" s="8">
        <v>46296</v>
      </c>
      <c r="B65" s="9">
        <v>0.57138888888888884</v>
      </c>
      <c r="C65" s="6">
        <v>34.273440000000001</v>
      </c>
      <c r="D65" s="4">
        <v>648</v>
      </c>
      <c r="E65" s="4" t="s">
        <v>24</v>
      </c>
      <c r="F65" s="4" t="s">
        <v>24</v>
      </c>
      <c r="G65" s="4" t="s">
        <v>24</v>
      </c>
    </row>
    <row r="66" spans="1:7" x14ac:dyDescent="0.2">
      <c r="A66" s="8">
        <v>46296</v>
      </c>
      <c r="B66" s="9">
        <v>0.57140046296296299</v>
      </c>
      <c r="C66" s="6">
        <v>34.773440000000001</v>
      </c>
      <c r="D66" s="4">
        <v>862</v>
      </c>
      <c r="E66" s="4" t="s">
        <v>24</v>
      </c>
      <c r="F66" s="4" t="s">
        <v>24</v>
      </c>
      <c r="G66" s="4" t="s">
        <v>24</v>
      </c>
    </row>
    <row r="67" spans="1:7" x14ac:dyDescent="0.2">
      <c r="A67" s="8">
        <v>46296</v>
      </c>
      <c r="B67" s="9">
        <v>0.57140046296296299</v>
      </c>
      <c r="C67" s="6">
        <v>35.273440000000001</v>
      </c>
      <c r="D67" s="4">
        <v>908</v>
      </c>
      <c r="E67" s="4" t="s">
        <v>24</v>
      </c>
      <c r="F67" s="4" t="s">
        <v>24</v>
      </c>
      <c r="G67" s="4" t="s">
        <v>24</v>
      </c>
    </row>
    <row r="68" spans="1:7" x14ac:dyDescent="0.2">
      <c r="A68" s="8">
        <v>46296</v>
      </c>
      <c r="B68" s="9">
        <v>0.57141203703703702</v>
      </c>
      <c r="C68" s="6">
        <v>35.773440000000001</v>
      </c>
      <c r="D68" s="4">
        <v>907</v>
      </c>
      <c r="E68" s="4" t="s">
        <v>24</v>
      </c>
      <c r="F68" s="4" t="s">
        <v>24</v>
      </c>
      <c r="G68" s="4" t="s">
        <v>24</v>
      </c>
    </row>
    <row r="69" spans="1:7" x14ac:dyDescent="0.2">
      <c r="A69" s="8">
        <v>46296</v>
      </c>
      <c r="B69" s="9">
        <v>0.57141203703703702</v>
      </c>
      <c r="C69" s="6">
        <v>36.292969999999997</v>
      </c>
      <c r="D69" s="4">
        <v>904</v>
      </c>
      <c r="E69" s="4" t="s">
        <v>26</v>
      </c>
      <c r="F69" s="4" t="s">
        <v>26</v>
      </c>
      <c r="G69" s="4">
        <v>21</v>
      </c>
    </row>
    <row r="70" spans="1:7" x14ac:dyDescent="0.2">
      <c r="A70" s="8">
        <v>46296</v>
      </c>
      <c r="B70" s="9">
        <v>0.57142361111111106</v>
      </c>
      <c r="C70" s="6">
        <v>36.8125</v>
      </c>
      <c r="D70" s="4">
        <v>902</v>
      </c>
      <c r="E70" s="4" t="s">
        <v>26</v>
      </c>
      <c r="F70" s="4" t="s">
        <v>26</v>
      </c>
      <c r="G70" s="4">
        <v>4112</v>
      </c>
    </row>
    <row r="71" spans="1:7" x14ac:dyDescent="0.2">
      <c r="A71" s="8">
        <v>46296</v>
      </c>
      <c r="B71" s="9">
        <v>0.57142361111111106</v>
      </c>
      <c r="C71" s="6">
        <v>37.328130000000002</v>
      </c>
      <c r="D71" s="4">
        <v>900</v>
      </c>
      <c r="E71" s="4" t="s">
        <v>26</v>
      </c>
      <c r="F71" s="4" t="s">
        <v>26</v>
      </c>
      <c r="G71" s="4">
        <v>4112</v>
      </c>
    </row>
    <row r="72" spans="1:7" x14ac:dyDescent="0.2">
      <c r="A72" s="8">
        <v>46296</v>
      </c>
      <c r="B72" s="9">
        <v>0.57143518518518521</v>
      </c>
      <c r="C72" s="6">
        <v>37.875</v>
      </c>
      <c r="D72" s="4">
        <v>897</v>
      </c>
      <c r="E72" s="4" t="s">
        <v>26</v>
      </c>
      <c r="F72" s="4" t="s">
        <v>26</v>
      </c>
      <c r="G72" s="4">
        <v>21</v>
      </c>
    </row>
    <row r="73" spans="1:7" x14ac:dyDescent="0.2">
      <c r="A73" s="8">
        <v>46296</v>
      </c>
      <c r="B73" s="9">
        <v>0.57143518518518521</v>
      </c>
      <c r="C73" s="6">
        <v>38.390630000000002</v>
      </c>
      <c r="D73" s="4">
        <v>894</v>
      </c>
      <c r="E73" s="4" t="s">
        <v>26</v>
      </c>
      <c r="F73" s="4" t="s">
        <v>26</v>
      </c>
      <c r="G73" s="4">
        <v>4112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8E672-372A-4CED-9304-A73E8DBEAF21}">
  <dimension ref="A1:I25"/>
  <sheetViews>
    <sheetView workbookViewId="0">
      <selection activeCell="L27" sqref="L27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0.69817129629629626</v>
      </c>
      <c r="C2" s="6">
        <v>1.7890630000000001</v>
      </c>
      <c r="D2" s="4">
        <v>781</v>
      </c>
      <c r="E2" s="4" t="s">
        <v>24</v>
      </c>
      <c r="F2" s="4" t="s">
        <v>24</v>
      </c>
      <c r="G2" s="4" t="s">
        <v>24</v>
      </c>
      <c r="I2">
        <f>AVERAGE(D2:D21)</f>
        <v>784</v>
      </c>
    </row>
    <row r="3" spans="1:9" x14ac:dyDescent="0.2">
      <c r="A3" s="8">
        <v>46294</v>
      </c>
      <c r="B3" s="9">
        <v>0.69818287037037041</v>
      </c>
      <c r="C3" s="6">
        <v>2.2695310000000002</v>
      </c>
      <c r="D3" s="4">
        <v>781</v>
      </c>
      <c r="E3" s="4" t="s">
        <v>24</v>
      </c>
      <c r="F3" s="4" t="s">
        <v>24</v>
      </c>
      <c r="G3" s="4" t="s">
        <v>24</v>
      </c>
      <c r="I3">
        <f>91*(1023-I2)/I2</f>
        <v>27.741071428571427</v>
      </c>
    </row>
    <row r="4" spans="1:9" x14ac:dyDescent="0.2">
      <c r="A4" s="8">
        <v>46294</v>
      </c>
      <c r="B4" s="9">
        <v>0.69818287037037041</v>
      </c>
      <c r="C4" s="6">
        <v>2.7734380000000001</v>
      </c>
      <c r="D4" s="4">
        <v>780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0.69819444444444445</v>
      </c>
      <c r="C5" s="6">
        <v>3.2929689999999998</v>
      </c>
      <c r="D5" s="4">
        <v>784</v>
      </c>
      <c r="E5" s="4" t="s">
        <v>27</v>
      </c>
      <c r="F5" s="10">
        <v>0.56000000000000005</v>
      </c>
      <c r="G5" s="4" t="s">
        <v>25</v>
      </c>
    </row>
    <row r="6" spans="1:9" x14ac:dyDescent="0.2">
      <c r="A6" s="8">
        <v>46294</v>
      </c>
      <c r="B6" s="9">
        <v>0.69819444444444445</v>
      </c>
      <c r="C6" s="6">
        <v>3.8164060000000002</v>
      </c>
      <c r="D6" s="4">
        <v>783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0.69820601851851849</v>
      </c>
      <c r="C7" s="6">
        <v>4.3125</v>
      </c>
      <c r="D7" s="4">
        <v>783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0.69820601851851849</v>
      </c>
      <c r="C8" s="6">
        <v>4.8164059999999997</v>
      </c>
      <c r="D8" s="4">
        <v>785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0.69821759259259264</v>
      </c>
      <c r="C9" s="6">
        <v>5.3164059999999997</v>
      </c>
      <c r="D9" s="4">
        <v>780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0.69821759259259264</v>
      </c>
      <c r="C10" s="6">
        <v>5.8320309999999997</v>
      </c>
      <c r="D10" s="4">
        <v>787</v>
      </c>
      <c r="E10" s="4" t="s">
        <v>26</v>
      </c>
      <c r="F10" s="4" t="s">
        <v>26</v>
      </c>
      <c r="G10" s="4">
        <v>21</v>
      </c>
    </row>
    <row r="11" spans="1:9" x14ac:dyDescent="0.2">
      <c r="A11" s="8">
        <v>46294</v>
      </c>
      <c r="B11" s="9">
        <v>0.69822916666666668</v>
      </c>
      <c r="C11" s="6">
        <v>6.3476559999999997</v>
      </c>
      <c r="D11" s="4">
        <v>787</v>
      </c>
      <c r="E11" s="4" t="s">
        <v>26</v>
      </c>
      <c r="F11" s="4" t="s">
        <v>26</v>
      </c>
      <c r="G11" s="4">
        <v>4112</v>
      </c>
    </row>
    <row r="12" spans="1:9" x14ac:dyDescent="0.2">
      <c r="A12" s="8">
        <v>46294</v>
      </c>
      <c r="B12" s="9">
        <v>0.69822916666666668</v>
      </c>
      <c r="C12" s="6">
        <v>6.8789059999999997</v>
      </c>
      <c r="D12" s="4">
        <v>785</v>
      </c>
      <c r="E12" s="4" t="s">
        <v>26</v>
      </c>
      <c r="F12" s="4" t="s">
        <v>26</v>
      </c>
      <c r="G12" s="4">
        <v>4112</v>
      </c>
    </row>
    <row r="13" spans="1:9" x14ac:dyDescent="0.2">
      <c r="A13" s="8">
        <v>46294</v>
      </c>
      <c r="B13" s="9">
        <v>0.69824074074074072</v>
      </c>
      <c r="C13" s="6">
        <v>7.4101559999999997</v>
      </c>
      <c r="D13" s="4">
        <v>789</v>
      </c>
      <c r="E13" s="4" t="s">
        <v>27</v>
      </c>
      <c r="F13" s="10">
        <v>0.56000000000000005</v>
      </c>
      <c r="G13" s="4" t="s">
        <v>25</v>
      </c>
    </row>
    <row r="14" spans="1:9" x14ac:dyDescent="0.2">
      <c r="A14" s="8">
        <v>46294</v>
      </c>
      <c r="B14" s="9">
        <v>0.69824074074074072</v>
      </c>
      <c r="C14" s="6">
        <v>7.9414059999999997</v>
      </c>
      <c r="D14" s="4">
        <v>782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0.69825231481481487</v>
      </c>
      <c r="C15" s="6">
        <v>8.4414060000000006</v>
      </c>
      <c r="D15" s="4">
        <v>784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46294</v>
      </c>
      <c r="B16" s="9">
        <v>0.69825231481481487</v>
      </c>
      <c r="C16" s="6">
        <v>8.9414060000000006</v>
      </c>
      <c r="D16" s="4">
        <v>787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0.69826388888888891</v>
      </c>
      <c r="C17" s="6">
        <v>9.4414060000000006</v>
      </c>
      <c r="D17" s="4">
        <v>784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0.69826388888888891</v>
      </c>
      <c r="C18" s="6">
        <v>9.9570310000000006</v>
      </c>
      <c r="D18" s="4">
        <v>783</v>
      </c>
      <c r="E18" s="4" t="s">
        <v>26</v>
      </c>
      <c r="F18" s="4" t="s">
        <v>26</v>
      </c>
      <c r="G18" s="4">
        <v>21</v>
      </c>
    </row>
    <row r="19" spans="1:7" x14ac:dyDescent="0.2">
      <c r="A19" s="8">
        <v>46294</v>
      </c>
      <c r="B19" s="9">
        <v>0.69827546296296295</v>
      </c>
      <c r="C19" s="6">
        <v>10.472659999999999</v>
      </c>
      <c r="D19" s="4">
        <v>785</v>
      </c>
      <c r="E19" s="4" t="s">
        <v>26</v>
      </c>
      <c r="F19" s="4" t="s">
        <v>26</v>
      </c>
      <c r="G19" s="4">
        <v>5136</v>
      </c>
    </row>
    <row r="20" spans="1:7" x14ac:dyDescent="0.2">
      <c r="A20" s="8">
        <v>46294</v>
      </c>
      <c r="B20" s="9">
        <v>0.69827546296296295</v>
      </c>
      <c r="C20" s="6">
        <v>11.003909999999999</v>
      </c>
      <c r="D20" s="4">
        <v>787</v>
      </c>
      <c r="E20" s="4" t="s">
        <v>26</v>
      </c>
      <c r="F20" s="4" t="s">
        <v>26</v>
      </c>
      <c r="G20" s="4">
        <v>4112</v>
      </c>
    </row>
    <row r="21" spans="1:7" x14ac:dyDescent="0.2">
      <c r="A21" s="8">
        <v>46294</v>
      </c>
      <c r="B21" s="9">
        <v>0.69828703703703698</v>
      </c>
      <c r="C21" s="6">
        <v>11.535159999999999</v>
      </c>
      <c r="D21" s="4">
        <v>783</v>
      </c>
      <c r="E21" s="4" t="s">
        <v>27</v>
      </c>
      <c r="F21" s="10">
        <v>0.56000000000000005</v>
      </c>
      <c r="G21" s="4" t="s">
        <v>25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</row>
    <row r="25" spans="1:7" x14ac:dyDescent="0.2">
      <c r="A25" s="8"/>
      <c r="B25" s="9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DF81-47FE-4137-A97F-EB3A69E44855}">
  <dimension ref="A1:I22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0.69954861111111111</v>
      </c>
      <c r="C2" s="6">
        <v>1.8046880000000001</v>
      </c>
      <c r="D2" s="4">
        <v>797</v>
      </c>
      <c r="E2" s="4" t="s">
        <v>24</v>
      </c>
      <c r="F2" s="4" t="s">
        <v>24</v>
      </c>
      <c r="G2" s="4" t="s">
        <v>24</v>
      </c>
      <c r="I2">
        <f>AVERAGE(D2:D21)</f>
        <v>791</v>
      </c>
    </row>
    <row r="3" spans="1:9" x14ac:dyDescent="0.2">
      <c r="A3" s="8">
        <v>46294</v>
      </c>
      <c r="B3" s="9">
        <v>0.69954861111111111</v>
      </c>
      <c r="C3" s="6">
        <v>2.2734380000000001</v>
      </c>
      <c r="D3" s="4">
        <v>799</v>
      </c>
      <c r="E3" s="4" t="s">
        <v>24</v>
      </c>
      <c r="F3" s="4" t="s">
        <v>24</v>
      </c>
      <c r="G3" s="4" t="s">
        <v>24</v>
      </c>
      <c r="I3">
        <f>91*(1023-I2)/I2</f>
        <v>26.690265486725664</v>
      </c>
    </row>
    <row r="4" spans="1:9" x14ac:dyDescent="0.2">
      <c r="A4" s="8">
        <v>46294</v>
      </c>
      <c r="B4" s="9">
        <v>0.69956018518518515</v>
      </c>
      <c r="C4" s="6">
        <v>2.7773439999999998</v>
      </c>
      <c r="D4" s="4">
        <v>792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0.69956018518518515</v>
      </c>
      <c r="C5" s="6">
        <v>3.296875</v>
      </c>
      <c r="D5" s="4">
        <v>792</v>
      </c>
      <c r="E5" s="4" t="s">
        <v>27</v>
      </c>
      <c r="F5" s="10">
        <v>0.56000000000000005</v>
      </c>
      <c r="G5" s="4" t="s">
        <v>25</v>
      </c>
    </row>
    <row r="6" spans="1:9" x14ac:dyDescent="0.2">
      <c r="A6" s="8">
        <v>46294</v>
      </c>
      <c r="B6" s="9">
        <v>0.6995717592592593</v>
      </c>
      <c r="C6" s="6">
        <v>3.8125</v>
      </c>
      <c r="D6" s="4">
        <v>790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0.6995717592592593</v>
      </c>
      <c r="C7" s="6">
        <v>4.3164059999999997</v>
      </c>
      <c r="D7" s="4">
        <v>792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0.69958333333333333</v>
      </c>
      <c r="C8" s="6">
        <v>4.8164059999999997</v>
      </c>
      <c r="D8" s="4">
        <v>792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0.69958333333333333</v>
      </c>
      <c r="C9" s="6">
        <v>5.3125</v>
      </c>
      <c r="D9" s="4">
        <v>790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0.69959490740740737</v>
      </c>
      <c r="C10" s="6">
        <v>5.8320309999999997</v>
      </c>
      <c r="D10" s="4">
        <v>788</v>
      </c>
      <c r="E10" s="4" t="s">
        <v>27</v>
      </c>
      <c r="F10" s="10">
        <v>0.56000000000000005</v>
      </c>
      <c r="G10" s="4" t="s">
        <v>25</v>
      </c>
    </row>
    <row r="11" spans="1:9" x14ac:dyDescent="0.2">
      <c r="A11" s="8">
        <v>46294</v>
      </c>
      <c r="B11" s="9">
        <v>0.69959490740740737</v>
      </c>
      <c r="C11" s="6">
        <v>6.3632809999999997</v>
      </c>
      <c r="D11" s="4">
        <v>791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46294</v>
      </c>
      <c r="B12" s="9">
        <v>0.69960648148148152</v>
      </c>
      <c r="C12" s="6">
        <v>6.8632809999999997</v>
      </c>
      <c r="D12" s="4">
        <v>792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46294</v>
      </c>
      <c r="B13" s="9">
        <v>0.69960648148148152</v>
      </c>
      <c r="C13" s="6">
        <v>7.3632809999999997</v>
      </c>
      <c r="D13" s="4">
        <v>795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46294</v>
      </c>
      <c r="B14" s="9">
        <v>0.69961805555555556</v>
      </c>
      <c r="C14" s="6">
        <v>7.8632809999999997</v>
      </c>
      <c r="D14" s="4">
        <v>793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0.6996296296296296</v>
      </c>
      <c r="C15" s="6">
        <v>8.875</v>
      </c>
      <c r="D15" s="4">
        <v>787</v>
      </c>
      <c r="E15" s="4" t="s">
        <v>26</v>
      </c>
      <c r="F15" s="4" t="s">
        <v>26</v>
      </c>
      <c r="G15" s="4">
        <v>-237</v>
      </c>
    </row>
    <row r="16" spans="1:9" x14ac:dyDescent="0.2">
      <c r="A16" s="8">
        <v>46294</v>
      </c>
      <c r="B16" s="9">
        <v>0.6996296296296296</v>
      </c>
      <c r="C16" s="6">
        <v>9.390625</v>
      </c>
      <c r="D16" s="4">
        <v>790</v>
      </c>
      <c r="E16" s="4" t="s">
        <v>26</v>
      </c>
      <c r="F16" s="4" t="s">
        <v>26</v>
      </c>
      <c r="G16" s="4">
        <v>4112</v>
      </c>
    </row>
    <row r="17" spans="1:7" x14ac:dyDescent="0.2">
      <c r="A17" s="8">
        <v>46294</v>
      </c>
      <c r="B17" s="9">
        <v>0.69964120370370375</v>
      </c>
      <c r="C17" s="6">
        <v>9.9375</v>
      </c>
      <c r="D17" s="4">
        <v>791</v>
      </c>
      <c r="E17" s="4" t="s">
        <v>27</v>
      </c>
      <c r="F17" s="10">
        <v>0.56000000000000005</v>
      </c>
      <c r="G17" s="4" t="s">
        <v>25</v>
      </c>
    </row>
    <row r="18" spans="1:7" x14ac:dyDescent="0.2">
      <c r="A18" s="8">
        <v>46294</v>
      </c>
      <c r="B18" s="9">
        <v>0.69964120370370375</v>
      </c>
      <c r="C18" s="6">
        <v>10.45313</v>
      </c>
      <c r="D18" s="4">
        <v>789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0.69965277777777779</v>
      </c>
      <c r="C19" s="6">
        <v>10.95313</v>
      </c>
      <c r="D19" s="4">
        <v>788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0.69965277777777779</v>
      </c>
      <c r="C20" s="6">
        <v>11.46875</v>
      </c>
      <c r="D20" s="4">
        <v>789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46294</v>
      </c>
      <c r="B21" s="9">
        <v>0.69966435185185183</v>
      </c>
      <c r="C21" s="6">
        <v>11.960940000000001</v>
      </c>
      <c r="D21" s="4">
        <v>783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  <c r="F22" s="10"/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13472-D41C-493F-AB70-293DBCBEBA96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0.700775462962963</v>
      </c>
      <c r="C2" s="6">
        <v>1.8046880000000001</v>
      </c>
      <c r="D2" s="4">
        <v>787</v>
      </c>
      <c r="E2" s="4" t="s">
        <v>24</v>
      </c>
      <c r="F2" s="4" t="s">
        <v>24</v>
      </c>
      <c r="G2" s="4" t="s">
        <v>24</v>
      </c>
      <c r="I2">
        <f>AVERAGE(D2:D21)</f>
        <v>779.85</v>
      </c>
    </row>
    <row r="3" spans="1:9" x14ac:dyDescent="0.2">
      <c r="A3" s="8">
        <v>46294</v>
      </c>
      <c r="B3" s="9">
        <v>0.700775462962963</v>
      </c>
      <c r="C3" s="6">
        <v>2.2773439999999998</v>
      </c>
      <c r="D3" s="4">
        <v>788</v>
      </c>
      <c r="E3" s="4" t="s">
        <v>24</v>
      </c>
      <c r="F3" s="4" t="s">
        <v>24</v>
      </c>
      <c r="G3" s="4" t="s">
        <v>24</v>
      </c>
      <c r="I3">
        <f>91*(1023-I2)/I2</f>
        <v>28.372956337757259</v>
      </c>
    </row>
    <row r="4" spans="1:9" x14ac:dyDescent="0.2">
      <c r="A4" s="8">
        <v>46294</v>
      </c>
      <c r="B4" s="9">
        <v>0.70078703703703704</v>
      </c>
      <c r="C4" s="6">
        <v>2.78125</v>
      </c>
      <c r="D4" s="4">
        <v>784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0.70078703703703704</v>
      </c>
      <c r="C5" s="6">
        <v>3.296875</v>
      </c>
      <c r="D5" s="4">
        <v>785</v>
      </c>
      <c r="E5" s="4" t="s">
        <v>27</v>
      </c>
      <c r="F5" s="10">
        <v>0.56999999999999995</v>
      </c>
      <c r="G5" s="4" t="s">
        <v>25</v>
      </c>
    </row>
    <row r="6" spans="1:9" x14ac:dyDescent="0.2">
      <c r="A6" s="8">
        <v>46294</v>
      </c>
      <c r="B6" s="9">
        <v>0.70079861111111108</v>
      </c>
      <c r="C6" s="6">
        <v>3.8242189999999998</v>
      </c>
      <c r="D6" s="4">
        <v>783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0.70079861111111108</v>
      </c>
      <c r="C7" s="6">
        <v>4.3164059999999997</v>
      </c>
      <c r="D7" s="4">
        <v>782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0.70081018518518523</v>
      </c>
      <c r="C8" s="6">
        <v>4.8242190000000003</v>
      </c>
      <c r="D8" s="4">
        <v>782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0.70081018518518523</v>
      </c>
      <c r="C9" s="6">
        <v>5.3242190000000003</v>
      </c>
      <c r="D9" s="4">
        <v>781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0.70082175925925927</v>
      </c>
      <c r="C10" s="6">
        <v>5.8359379999999996</v>
      </c>
      <c r="D10" s="4">
        <v>781</v>
      </c>
      <c r="E10" s="4" t="s">
        <v>26</v>
      </c>
      <c r="F10" s="4" t="s">
        <v>26</v>
      </c>
      <c r="G10" s="4">
        <v>21</v>
      </c>
    </row>
    <row r="11" spans="1:9" x14ac:dyDescent="0.2">
      <c r="A11" s="8">
        <v>46294</v>
      </c>
      <c r="B11" s="9">
        <v>0.70082175925925927</v>
      </c>
      <c r="C11" s="6">
        <v>6.3671879999999996</v>
      </c>
      <c r="D11" s="4">
        <v>778</v>
      </c>
      <c r="E11" s="4" t="s">
        <v>26</v>
      </c>
      <c r="F11" s="4" t="s">
        <v>26</v>
      </c>
      <c r="G11" s="4">
        <v>4112</v>
      </c>
    </row>
    <row r="12" spans="1:9" x14ac:dyDescent="0.2">
      <c r="A12" s="8">
        <v>46294</v>
      </c>
      <c r="B12" s="9">
        <v>0.70083333333333331</v>
      </c>
      <c r="C12" s="6">
        <v>6.890625</v>
      </c>
      <c r="D12" s="4">
        <v>776</v>
      </c>
      <c r="E12" s="4" t="s">
        <v>26</v>
      </c>
      <c r="F12" s="4" t="s">
        <v>26</v>
      </c>
      <c r="G12" s="4">
        <v>3088</v>
      </c>
    </row>
    <row r="13" spans="1:9" x14ac:dyDescent="0.2">
      <c r="A13" s="8">
        <v>46294</v>
      </c>
      <c r="B13" s="9">
        <v>0.70083333333333331</v>
      </c>
      <c r="C13" s="6">
        <v>7.421875</v>
      </c>
      <c r="D13" s="4">
        <v>779</v>
      </c>
      <c r="E13" s="4" t="s">
        <v>27</v>
      </c>
      <c r="F13" s="10">
        <v>0.56999999999999995</v>
      </c>
      <c r="G13" s="4" t="s">
        <v>25</v>
      </c>
    </row>
    <row r="14" spans="1:9" x14ac:dyDescent="0.2">
      <c r="A14" s="8">
        <v>46294</v>
      </c>
      <c r="B14" s="9">
        <v>0.70084490740740746</v>
      </c>
      <c r="C14" s="6">
        <v>7.9453129999999996</v>
      </c>
      <c r="D14" s="4">
        <v>777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46294</v>
      </c>
      <c r="B15" s="9">
        <v>0.70084490740740746</v>
      </c>
      <c r="C15" s="6">
        <v>8.4453130000000005</v>
      </c>
      <c r="D15" s="4">
        <v>776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46294</v>
      </c>
      <c r="B16" s="9">
        <v>0.7008564814814815</v>
      </c>
      <c r="C16" s="6">
        <v>8.9492189999999994</v>
      </c>
      <c r="D16" s="4">
        <v>775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46294</v>
      </c>
      <c r="B17" s="9">
        <v>0.7008564814814815</v>
      </c>
      <c r="C17" s="6">
        <v>9.4453130000000005</v>
      </c>
      <c r="D17" s="4">
        <v>777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0.70086805555555554</v>
      </c>
      <c r="C18" s="6">
        <v>10.464840000000001</v>
      </c>
      <c r="D18" s="4">
        <v>776</v>
      </c>
      <c r="E18" s="4" t="s">
        <v>26</v>
      </c>
      <c r="F18" s="4" t="s">
        <v>26</v>
      </c>
      <c r="G18" s="4">
        <v>-237</v>
      </c>
    </row>
    <row r="19" spans="1:7" x14ac:dyDescent="0.2">
      <c r="A19" s="8">
        <v>46294</v>
      </c>
      <c r="B19" s="9">
        <v>0.70087962962962957</v>
      </c>
      <c r="C19" s="6">
        <v>10.992190000000001</v>
      </c>
      <c r="D19" s="4">
        <v>779</v>
      </c>
      <c r="E19" s="4" t="s">
        <v>26</v>
      </c>
      <c r="F19" s="4" t="s">
        <v>26</v>
      </c>
      <c r="G19" s="4">
        <v>4112</v>
      </c>
    </row>
    <row r="20" spans="1:7" x14ac:dyDescent="0.2">
      <c r="A20" s="8">
        <v>46294</v>
      </c>
      <c r="B20" s="9">
        <v>0.70087962962962957</v>
      </c>
      <c r="C20" s="6">
        <v>11.53125</v>
      </c>
      <c r="D20" s="4">
        <v>774</v>
      </c>
      <c r="E20" s="4" t="s">
        <v>27</v>
      </c>
      <c r="F20" s="10">
        <v>0.56000000000000005</v>
      </c>
      <c r="G20" s="4" t="s">
        <v>25</v>
      </c>
    </row>
    <row r="21" spans="1:7" x14ac:dyDescent="0.2">
      <c r="A21" s="8">
        <v>46294</v>
      </c>
      <c r="B21" s="9">
        <v>0.70089120370370372</v>
      </c>
      <c r="C21" s="6">
        <v>12.05078</v>
      </c>
      <c r="D21" s="4">
        <v>777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F1461-E1EE-41D1-9794-A71F03326747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46294</v>
      </c>
      <c r="B2" s="9">
        <v>0.70172453703703708</v>
      </c>
      <c r="C2" s="6">
        <v>1.8203130000000001</v>
      </c>
      <c r="D2" s="4">
        <v>793</v>
      </c>
      <c r="E2" s="4" t="s">
        <v>24</v>
      </c>
      <c r="F2" s="4" t="s">
        <v>24</v>
      </c>
      <c r="G2" s="4" t="s">
        <v>24</v>
      </c>
      <c r="I2">
        <f>AVERAGE(D2:D21)</f>
        <v>792.55</v>
      </c>
    </row>
    <row r="3" spans="1:9" x14ac:dyDescent="0.2">
      <c r="A3" s="8">
        <v>46294</v>
      </c>
      <c r="B3" s="9">
        <v>0.70173611111111112</v>
      </c>
      <c r="C3" s="6">
        <v>2.2929689999999998</v>
      </c>
      <c r="D3" s="4">
        <v>794</v>
      </c>
      <c r="E3" s="4" t="s">
        <v>24</v>
      </c>
      <c r="F3" s="4" t="s">
        <v>24</v>
      </c>
      <c r="G3" s="4" t="s">
        <v>24</v>
      </c>
      <c r="I3">
        <f>91*(1023-I2)/I2</f>
        <v>26.460097154753651</v>
      </c>
    </row>
    <row r="4" spans="1:9" x14ac:dyDescent="0.2">
      <c r="A4" s="8">
        <v>46294</v>
      </c>
      <c r="B4" s="9">
        <v>0.70173611111111112</v>
      </c>
      <c r="C4" s="6">
        <v>2.7929689999999998</v>
      </c>
      <c r="D4" s="4">
        <v>792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46294</v>
      </c>
      <c r="B5" s="9">
        <v>0.70174768518518515</v>
      </c>
      <c r="C5" s="6">
        <v>3.3164060000000002</v>
      </c>
      <c r="D5" s="4">
        <v>791</v>
      </c>
      <c r="E5" s="4" t="s">
        <v>27</v>
      </c>
      <c r="F5" s="10">
        <v>0.56999999999999995</v>
      </c>
      <c r="G5" s="4" t="s">
        <v>25</v>
      </c>
    </row>
    <row r="6" spans="1:9" x14ac:dyDescent="0.2">
      <c r="A6" s="8">
        <v>46294</v>
      </c>
      <c r="B6" s="9">
        <v>0.70174768518518515</v>
      </c>
      <c r="C6" s="6">
        <v>3.8359380000000001</v>
      </c>
      <c r="D6" s="4">
        <v>793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46294</v>
      </c>
      <c r="B7" s="9">
        <v>0.7017592592592593</v>
      </c>
      <c r="C7" s="6">
        <v>4.3320309999999997</v>
      </c>
      <c r="D7" s="4">
        <v>792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46294</v>
      </c>
      <c r="B8" s="9">
        <v>0.7017592592592593</v>
      </c>
      <c r="C8" s="6">
        <v>4.8359379999999996</v>
      </c>
      <c r="D8" s="4">
        <v>793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46294</v>
      </c>
      <c r="B9" s="9">
        <v>0.70177083333333334</v>
      </c>
      <c r="C9" s="6">
        <v>5.3398440000000003</v>
      </c>
      <c r="D9" s="4">
        <v>792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46294</v>
      </c>
      <c r="B10" s="9">
        <v>0.70177083333333334</v>
      </c>
      <c r="C10" s="6">
        <v>5.8515629999999996</v>
      </c>
      <c r="D10" s="4">
        <v>791</v>
      </c>
      <c r="E10" s="4" t="s">
        <v>26</v>
      </c>
      <c r="F10" s="4" t="s">
        <v>26</v>
      </c>
      <c r="G10" s="4">
        <v>21</v>
      </c>
    </row>
    <row r="11" spans="1:9" x14ac:dyDescent="0.2">
      <c r="A11" s="8">
        <v>46294</v>
      </c>
      <c r="B11" s="9">
        <v>0.70178240740740738</v>
      </c>
      <c r="C11" s="6">
        <v>6.3789059999999997</v>
      </c>
      <c r="D11" s="4">
        <v>790</v>
      </c>
      <c r="E11" s="4" t="s">
        <v>26</v>
      </c>
      <c r="F11" s="4" t="s">
        <v>26</v>
      </c>
      <c r="G11" s="4">
        <v>4112</v>
      </c>
    </row>
    <row r="12" spans="1:9" x14ac:dyDescent="0.2">
      <c r="A12" s="8">
        <v>46294</v>
      </c>
      <c r="B12" s="9">
        <v>0.70178240740740738</v>
      </c>
      <c r="C12" s="6">
        <v>6.9023440000000003</v>
      </c>
      <c r="D12" s="4">
        <v>794</v>
      </c>
      <c r="E12" s="4" t="s">
        <v>26</v>
      </c>
      <c r="F12" s="4" t="s">
        <v>26</v>
      </c>
      <c r="G12" s="4">
        <v>3088</v>
      </c>
    </row>
    <row r="13" spans="1:9" x14ac:dyDescent="0.2">
      <c r="A13" s="8">
        <v>46294</v>
      </c>
      <c r="B13" s="9">
        <v>0.70179398148148153</v>
      </c>
      <c r="C13" s="6">
        <v>7.4335940000000003</v>
      </c>
      <c r="D13" s="4">
        <v>791</v>
      </c>
      <c r="E13" s="4" t="s">
        <v>26</v>
      </c>
      <c r="F13" s="4" t="s">
        <v>26</v>
      </c>
      <c r="G13" s="4">
        <v>21</v>
      </c>
    </row>
    <row r="14" spans="1:9" x14ac:dyDescent="0.2">
      <c r="A14" s="8">
        <v>46294</v>
      </c>
      <c r="B14" s="9">
        <v>0.70179398148148153</v>
      </c>
      <c r="C14" s="6">
        <v>7.9609379999999996</v>
      </c>
      <c r="D14" s="4">
        <v>792</v>
      </c>
      <c r="E14" s="4" t="s">
        <v>26</v>
      </c>
      <c r="F14" s="4" t="s">
        <v>26</v>
      </c>
      <c r="G14" s="4">
        <v>4112</v>
      </c>
    </row>
    <row r="15" spans="1:9" x14ac:dyDescent="0.2">
      <c r="A15" s="8">
        <v>46294</v>
      </c>
      <c r="B15" s="9">
        <v>0.70180555555555557</v>
      </c>
      <c r="C15" s="6">
        <v>8.484375</v>
      </c>
      <c r="D15" s="4">
        <v>794</v>
      </c>
      <c r="E15" s="4" t="s">
        <v>26</v>
      </c>
      <c r="F15" s="4" t="s">
        <v>26</v>
      </c>
      <c r="G15" s="4">
        <v>4112</v>
      </c>
    </row>
    <row r="16" spans="1:9" x14ac:dyDescent="0.2">
      <c r="A16" s="8">
        <v>46294</v>
      </c>
      <c r="B16" s="9">
        <v>0.70180555555555557</v>
      </c>
      <c r="C16" s="6">
        <v>9.0195310000000006</v>
      </c>
      <c r="D16" s="4">
        <v>793</v>
      </c>
      <c r="E16" s="4" t="s">
        <v>27</v>
      </c>
      <c r="F16" s="10">
        <v>0.56999999999999995</v>
      </c>
      <c r="G16" s="4" t="s">
        <v>25</v>
      </c>
    </row>
    <row r="17" spans="1:7" x14ac:dyDescent="0.2">
      <c r="A17" s="8">
        <v>46294</v>
      </c>
      <c r="B17" s="9">
        <v>0.70181712962962961</v>
      </c>
      <c r="C17" s="6">
        <v>9.5390630000000005</v>
      </c>
      <c r="D17" s="4">
        <v>793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46294</v>
      </c>
      <c r="B18" s="9">
        <v>0.70181712962962961</v>
      </c>
      <c r="C18" s="6">
        <v>10.039059999999999</v>
      </c>
      <c r="D18" s="4">
        <v>793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46294</v>
      </c>
      <c r="B19" s="9">
        <v>0.70182870370370365</v>
      </c>
      <c r="C19" s="6">
        <v>10.54297</v>
      </c>
      <c r="D19" s="4">
        <v>794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46294</v>
      </c>
      <c r="B20" s="9">
        <v>0.70182870370370365</v>
      </c>
      <c r="C20" s="6">
        <v>11.04297</v>
      </c>
      <c r="D20" s="4">
        <v>793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46294</v>
      </c>
      <c r="B21" s="9">
        <v>0.7018402777777778</v>
      </c>
      <c r="C21" s="6">
        <v>11.566409999999999</v>
      </c>
      <c r="D21" s="4">
        <v>793</v>
      </c>
      <c r="E21" s="4" t="s">
        <v>27</v>
      </c>
      <c r="F21" s="10">
        <v>0.56999999999999995</v>
      </c>
      <c r="G21" s="4" t="s">
        <v>25</v>
      </c>
    </row>
  </sheetData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2" t="s">
        <v>3</v>
      </c>
      <c r="F3" s="13"/>
    </row>
    <row r="4" spans="2:13" ht="12.75" customHeight="1" x14ac:dyDescent="0.2">
      <c r="B4" s="1" t="s">
        <v>1</v>
      </c>
      <c r="C4" s="3">
        <v>9600</v>
      </c>
      <c r="E4" s="14"/>
      <c r="F4" s="15"/>
    </row>
    <row r="5" spans="2:13" ht="12.75" customHeight="1" x14ac:dyDescent="0.2">
      <c r="B5" s="1" t="s">
        <v>2</v>
      </c>
      <c r="C5" s="2" t="b">
        <v>1</v>
      </c>
      <c r="E5" s="14"/>
      <c r="F5" s="15"/>
    </row>
    <row r="6" spans="2:13" ht="12.75" customHeight="1" x14ac:dyDescent="0.2">
      <c r="B6" s="1" t="s">
        <v>5</v>
      </c>
      <c r="C6" s="2" t="b">
        <v>1</v>
      </c>
      <c r="E6" s="14"/>
      <c r="F6" s="15"/>
    </row>
    <row r="7" spans="2:13" ht="12.75" customHeight="1" x14ac:dyDescent="0.2">
      <c r="B7" s="1" t="s">
        <v>6</v>
      </c>
      <c r="C7" s="2" t="b">
        <v>1</v>
      </c>
      <c r="E7" s="14"/>
      <c r="F7" s="15"/>
      <c r="M7" s="1"/>
    </row>
    <row r="8" spans="2:13" ht="12.75" customHeight="1" x14ac:dyDescent="0.2">
      <c r="B8" s="1" t="s">
        <v>7</v>
      </c>
      <c r="C8" s="2" t="b">
        <v>0</v>
      </c>
      <c r="E8" s="14"/>
      <c r="F8" s="15"/>
      <c r="L8" s="1"/>
      <c r="M8" s="1"/>
    </row>
    <row r="9" spans="2:13" ht="12.75" customHeight="1" x14ac:dyDescent="0.2">
      <c r="B9" s="1" t="s">
        <v>4</v>
      </c>
      <c r="C9" s="3" t="s">
        <v>40</v>
      </c>
      <c r="E9" s="14"/>
      <c r="F9" s="15"/>
      <c r="M9" s="1"/>
    </row>
    <row r="10" spans="2:13" ht="13.5" customHeight="1" x14ac:dyDescent="0.2">
      <c r="B10" s="1" t="s">
        <v>9</v>
      </c>
      <c r="C10" s="2" t="b">
        <v>1</v>
      </c>
      <c r="E10" s="14"/>
      <c r="F10" s="15"/>
    </row>
    <row r="11" spans="2:13" ht="13.5" customHeight="1" x14ac:dyDescent="0.2">
      <c r="B11" s="1" t="s">
        <v>8</v>
      </c>
      <c r="C11" s="2" t="b">
        <v>1</v>
      </c>
      <c r="E11" s="14"/>
      <c r="F11" s="15"/>
    </row>
    <row r="12" spans="2:13" ht="12.75" customHeight="1" x14ac:dyDescent="0.2">
      <c r="B12" s="1" t="s">
        <v>10</v>
      </c>
      <c r="C12" s="2" t="b">
        <v>1</v>
      </c>
      <c r="E12" s="14"/>
      <c r="F12" s="15"/>
    </row>
    <row r="13" spans="2:13" ht="12.75" customHeight="1" x14ac:dyDescent="0.2">
      <c r="B13" s="1" t="s">
        <v>11</v>
      </c>
      <c r="C13" s="2" t="b">
        <v>1</v>
      </c>
      <c r="E13" s="14"/>
      <c r="F13" s="15"/>
    </row>
    <row r="14" spans="2:13" ht="13.5" customHeight="1" x14ac:dyDescent="0.2">
      <c r="B14" s="1" t="s">
        <v>12</v>
      </c>
      <c r="C14" s="2">
        <v>536.25</v>
      </c>
      <c r="E14" s="14"/>
      <c r="F14" s="15"/>
    </row>
    <row r="15" spans="2:13" x14ac:dyDescent="0.2">
      <c r="B15" s="1" t="s">
        <v>13</v>
      </c>
      <c r="C15" s="3">
        <v>1024</v>
      </c>
      <c r="E15" s="14"/>
      <c r="F15" s="15"/>
    </row>
    <row r="16" spans="2:13" x14ac:dyDescent="0.2">
      <c r="B16" s="1" t="s">
        <v>14</v>
      </c>
      <c r="C16" s="3">
        <v>1024</v>
      </c>
      <c r="E16" s="14"/>
      <c r="F16" s="15"/>
    </row>
    <row r="17" spans="2:6" x14ac:dyDescent="0.2">
      <c r="B17" s="1" t="s">
        <v>15</v>
      </c>
      <c r="C17" s="3">
        <v>1024</v>
      </c>
      <c r="E17" s="14"/>
      <c r="F17" s="15"/>
    </row>
    <row r="18" spans="2:6" ht="13.5" thickBot="1" x14ac:dyDescent="0.25">
      <c r="B18" s="1" t="s">
        <v>16</v>
      </c>
      <c r="C18" s="3">
        <v>64</v>
      </c>
      <c r="E18" s="16"/>
      <c r="F18" s="17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溫度</vt:lpstr>
      <vt:lpstr>A2</vt:lpstr>
      <vt:lpstr>A3</vt:lpstr>
      <vt:lpstr>A4</vt:lpstr>
      <vt:lpstr>B2</vt:lpstr>
      <vt:lpstr>B3</vt:lpstr>
      <vt:lpstr>B4</vt:lpstr>
      <vt:lpstr>養樂多空白值</vt:lpstr>
      <vt:lpstr>養樂多 磨過</vt:lpstr>
      <vt:lpstr>養樂多30</vt:lpstr>
      <vt:lpstr>養樂多40</vt:lpstr>
      <vt:lpstr>養樂多50</vt:lpstr>
      <vt:lpstr>養樂多60</vt:lpstr>
      <vt:lpstr>養樂多70</vt:lpstr>
      <vt:lpstr>養樂多80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2026-10-01T06:02:59Z</dcterms:modified>
</cp:coreProperties>
</file>