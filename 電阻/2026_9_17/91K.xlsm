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9_17\"/>
    </mc:Choice>
  </mc:AlternateContent>
  <xr:revisionPtr revIDLastSave="0" documentId="13_ncr:1_{2B202311-295F-492C-99A2-DBC3167B714C}" xr6:coauthVersionLast="47" xr6:coauthVersionMax="47" xr10:uidLastSave="{00000000-0000-0000-0000-000000000000}"/>
  <bookViews>
    <workbookView xWindow="-120" yWindow="-120" windowWidth="20730" windowHeight="11160" tabRatio="795" activeTab="17" xr2:uid="{00000000-000D-0000-FFFF-FFFF00000000}"/>
  </bookViews>
  <sheets>
    <sheet name="溫度" sheetId="36" r:id="rId1"/>
    <sheet name="40度空白" sheetId="50" r:id="rId2"/>
    <sheet name="60度空白" sheetId="61" r:id="rId3"/>
    <sheet name="紙杯 80度" sheetId="37" r:id="rId4"/>
    <sheet name="紙杯60度" sheetId="39" r:id="rId5"/>
    <sheet name="紙杯40度" sheetId="41" r:id="rId6"/>
    <sheet name="保麗龍球(大)80" sheetId="57" r:id="rId7"/>
    <sheet name="保麗龍球(大)60 " sheetId="60" r:id="rId8"/>
    <sheet name="保麗龍球(大)40" sheetId="58" r:id="rId9"/>
    <sheet name="保麗龍球(小)80" sheetId="38" r:id="rId10"/>
    <sheet name="保麗龍球(小)60" sheetId="40" r:id="rId11"/>
    <sheet name="保麗龍球(小)40" sheetId="42" r:id="rId12"/>
    <sheet name="A2" sheetId="62" r:id="rId13"/>
    <sheet name="A3" sheetId="63" r:id="rId14"/>
    <sheet name="A4" sheetId="64" r:id="rId15"/>
    <sheet name="B2" sheetId="65" r:id="rId16"/>
    <sheet name="B3" sheetId="66" r:id="rId17"/>
    <sheet name="B4" sheetId="67" r:id="rId18"/>
    <sheet name="PLXDAQ_new_Settings" sheetId="6" state="hidden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" i="67" l="1"/>
  <c r="H3" i="67" s="1"/>
  <c r="H2" i="66"/>
  <c r="H3" i="66" s="1"/>
  <c r="H2" i="65"/>
  <c r="H3" i="65" s="1"/>
  <c r="H2" i="64"/>
  <c r="H3" i="64" s="1"/>
  <c r="H2" i="63"/>
  <c r="H3" i="63" s="1"/>
  <c r="H3" i="62"/>
  <c r="H2" i="62"/>
  <c r="H2" i="42"/>
  <c r="H3" i="42" s="1"/>
  <c r="H2" i="40"/>
  <c r="H3" i="40" s="1"/>
  <c r="H2" i="38"/>
  <c r="H3" i="38" s="1"/>
  <c r="H2" i="58"/>
  <c r="H3" i="58" s="1"/>
  <c r="H2" i="60"/>
  <c r="H3" i="60" s="1"/>
  <c r="H2" i="57"/>
  <c r="H3" i="57" s="1"/>
  <c r="H2" i="41"/>
  <c r="H3" i="41" s="1"/>
  <c r="H3" i="39"/>
  <c r="H2" i="39"/>
  <c r="H3" i="61"/>
  <c r="H3" i="50"/>
  <c r="H2" i="61"/>
  <c r="H2" i="50"/>
</calcChain>
</file>

<file path=xl/sharedStrings.xml><?xml version="1.0" encoding="utf-8"?>
<sst xmlns="http://schemas.openxmlformats.org/spreadsheetml/2006/main" count="1078" uniqueCount="35">
  <si>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</si>
  <si>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</si>
  <si>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</si>
  <si>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</si>
  <si>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</si>
  <si>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</si>
  <si>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</si>
  <si>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</si>
  <si>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</si>
  <si>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</si>
  <si>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</si>
  <si>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</si>
  <si>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</si>
  <si>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</si>
  <si>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</si>
  <si>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</si>
  <si>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</si>
  <si>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27.00 C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</si>
  <si>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</si>
  <si>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</si>
  <si>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</si>
  <si>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</si>
  <si>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</si>
  <si>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</si>
  <si>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</si>
  <si>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</si>
  <si>
    <t>A0</t>
    <phoneticPr fontId="4" type="noConversion"/>
  </si>
  <si>
    <t>Time</t>
  </si>
  <si>
    <t>Timer</t>
  </si>
  <si>
    <t>A0</t>
  </si>
  <si>
    <t>T</t>
  </si>
  <si>
    <t>H</t>
  </si>
  <si>
    <t>Error Code</t>
  </si>
  <si>
    <t>26.00 C</t>
  </si>
  <si>
    <t>B4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</si>
</sst>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1" fillId="0" borderId="0" xfId="0" applyNumberFormat="1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sheetPr codeName="工作表1"/>
  <dimension ref="A1:F26"/>
  <sheetViews>
    <sheetView workbookViewId="0">
      <selection activeCell="J3" sqref="J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6" x14ac:dyDescent="0.2">
      <c r="A2" s="8">
        <v>0.54671296296296301</v>
      </c>
      <c r="B2" s="6">
        <v>1.796875</v>
      </c>
      <c r="C2" s="10">
        <v>1</v>
      </c>
      <c r="D2" s="10" t="s">
        <v>25</v>
      </c>
      <c r="E2" s="10" t="s">
        <v>25</v>
      </c>
      <c r="F2" s="10" t="s">
        <v>25</v>
      </c>
    </row>
    <row r="3" spans="1:6" x14ac:dyDescent="0.2">
      <c r="A3" s="8">
        <v>0.54671296296296301</v>
      </c>
      <c r="B3" s="6">
        <v>2.265625</v>
      </c>
      <c r="C3" s="10">
        <v>0</v>
      </c>
      <c r="D3" s="10" t="s">
        <v>25</v>
      </c>
      <c r="E3" s="10" t="s">
        <v>25</v>
      </c>
      <c r="F3" s="10" t="s">
        <v>25</v>
      </c>
    </row>
    <row r="4" spans="1:6" x14ac:dyDescent="0.2">
      <c r="A4" s="8">
        <v>0.54672453703703705</v>
      </c>
      <c r="B4" s="6">
        <v>2.7617189999999998</v>
      </c>
      <c r="C4" s="10">
        <v>0</v>
      </c>
      <c r="D4" s="10" t="s">
        <v>25</v>
      </c>
      <c r="E4" s="10" t="s">
        <v>25</v>
      </c>
      <c r="F4" s="10" t="s">
        <v>25</v>
      </c>
    </row>
    <row r="5" spans="1:6" x14ac:dyDescent="0.2">
      <c r="A5" s="8">
        <v>0.54673611111111109</v>
      </c>
      <c r="B5" s="6">
        <v>3.78125</v>
      </c>
      <c r="C5" s="10">
        <v>0</v>
      </c>
      <c r="D5" s="10" t="s">
        <v>19</v>
      </c>
      <c r="E5" s="10" t="s">
        <v>19</v>
      </c>
      <c r="F5" s="10">
        <v>-237</v>
      </c>
    </row>
    <row r="6" spans="1:6" x14ac:dyDescent="0.2">
      <c r="A6" s="8">
        <v>0.54673611111111109</v>
      </c>
      <c r="B6" s="6">
        <v>4.3046879999999996</v>
      </c>
      <c r="C6" s="10">
        <v>0</v>
      </c>
      <c r="D6" s="10" t="s">
        <v>19</v>
      </c>
      <c r="E6" s="10" t="s">
        <v>19</v>
      </c>
      <c r="F6" s="10">
        <v>4112</v>
      </c>
    </row>
    <row r="7" spans="1:6" x14ac:dyDescent="0.2">
      <c r="A7" s="8">
        <v>0.54674768518518524</v>
      </c>
      <c r="B7" s="6">
        <v>4.84375</v>
      </c>
      <c r="C7" s="10">
        <v>0</v>
      </c>
      <c r="D7" s="10" t="s">
        <v>17</v>
      </c>
      <c r="E7" s="9">
        <v>0.59</v>
      </c>
      <c r="F7" s="10" t="s">
        <v>18</v>
      </c>
    </row>
    <row r="8" spans="1:6" x14ac:dyDescent="0.2">
      <c r="A8" s="8">
        <v>0.54674768518518524</v>
      </c>
      <c r="B8" s="6">
        <v>5.3554690000000003</v>
      </c>
      <c r="C8" s="10">
        <v>0</v>
      </c>
      <c r="D8" s="10" t="s">
        <v>25</v>
      </c>
      <c r="E8" s="10" t="s">
        <v>25</v>
      </c>
      <c r="F8" s="10" t="s">
        <v>25</v>
      </c>
    </row>
    <row r="9" spans="1:6" x14ac:dyDescent="0.2">
      <c r="A9" s="8">
        <v>0.54675925925925928</v>
      </c>
      <c r="B9" s="6">
        <v>5.8554690000000003</v>
      </c>
      <c r="C9" s="10">
        <v>0</v>
      </c>
      <c r="D9" s="10" t="s">
        <v>25</v>
      </c>
      <c r="E9" s="10" t="s">
        <v>25</v>
      </c>
      <c r="F9" s="10" t="s">
        <v>25</v>
      </c>
    </row>
    <row r="10" spans="1:6" x14ac:dyDescent="0.2">
      <c r="A10" s="8">
        <v>0.54675925925925928</v>
      </c>
      <c r="B10" s="6">
        <v>6.3554690000000003</v>
      </c>
      <c r="C10" s="10">
        <v>0</v>
      </c>
      <c r="D10" s="10" t="s">
        <v>25</v>
      </c>
      <c r="E10" s="10" t="s">
        <v>25</v>
      </c>
      <c r="F10" s="10" t="s">
        <v>25</v>
      </c>
    </row>
    <row r="11" spans="1:6" x14ac:dyDescent="0.2">
      <c r="A11" s="8">
        <v>0.54677083333333332</v>
      </c>
      <c r="B11" s="6">
        <v>6.8554690000000003</v>
      </c>
      <c r="C11" s="10">
        <v>6</v>
      </c>
      <c r="D11" s="10" t="s">
        <v>25</v>
      </c>
      <c r="E11" s="10" t="s">
        <v>25</v>
      </c>
      <c r="F11" s="10" t="s">
        <v>25</v>
      </c>
    </row>
    <row r="12" spans="1:6" x14ac:dyDescent="0.2">
      <c r="A12" s="8">
        <v>0.54677083333333332</v>
      </c>
      <c r="B12" s="6">
        <v>7.3867190000000003</v>
      </c>
      <c r="C12" s="10">
        <v>2</v>
      </c>
      <c r="D12" s="10" t="s">
        <v>17</v>
      </c>
      <c r="E12" s="9">
        <v>0.59</v>
      </c>
      <c r="F12" s="10" t="s">
        <v>18</v>
      </c>
    </row>
    <row r="13" spans="1:6" x14ac:dyDescent="0.2">
      <c r="A13" s="8">
        <v>0.54678240740740736</v>
      </c>
      <c r="B13" s="6">
        <v>7.9023440000000003</v>
      </c>
      <c r="C13" s="10">
        <v>5</v>
      </c>
      <c r="D13" s="10" t="s">
        <v>25</v>
      </c>
      <c r="E13" s="10" t="s">
        <v>25</v>
      </c>
      <c r="F13" s="10" t="s">
        <v>25</v>
      </c>
    </row>
    <row r="14" spans="1:6" x14ac:dyDescent="0.2">
      <c r="A14" s="8">
        <v>0.54678240740740736</v>
      </c>
      <c r="B14" s="6">
        <v>8.4023439999999994</v>
      </c>
      <c r="C14" s="10">
        <v>3</v>
      </c>
      <c r="D14" s="10" t="s">
        <v>25</v>
      </c>
      <c r="E14" s="10" t="s">
        <v>25</v>
      </c>
      <c r="F14" s="10" t="s">
        <v>25</v>
      </c>
    </row>
    <row r="15" spans="1:6" x14ac:dyDescent="0.2">
      <c r="A15" s="8">
        <v>0.54679398148148151</v>
      </c>
      <c r="B15" s="6">
        <v>8.9023439999999994</v>
      </c>
      <c r="C15" s="10">
        <v>3</v>
      </c>
      <c r="D15" s="10" t="s">
        <v>25</v>
      </c>
      <c r="E15" s="10" t="s">
        <v>25</v>
      </c>
      <c r="F15" s="10" t="s">
        <v>25</v>
      </c>
    </row>
    <row r="16" spans="1:6" x14ac:dyDescent="0.2">
      <c r="A16" s="8">
        <v>0.54679398148148151</v>
      </c>
      <c r="B16" s="6">
        <v>9.4023439999999994</v>
      </c>
      <c r="C16" s="10">
        <v>0</v>
      </c>
      <c r="D16" s="10" t="s">
        <v>25</v>
      </c>
      <c r="E16" s="10" t="s">
        <v>25</v>
      </c>
      <c r="F16" s="10" t="s">
        <v>25</v>
      </c>
    </row>
    <row r="17" spans="1:6" x14ac:dyDescent="0.2">
      <c r="A17" s="8">
        <v>0.54680555555555554</v>
      </c>
      <c r="B17" s="6">
        <v>9.9335939999999994</v>
      </c>
      <c r="C17" s="10">
        <v>4</v>
      </c>
      <c r="D17" s="10" t="s">
        <v>17</v>
      </c>
      <c r="E17" s="9">
        <v>0.59</v>
      </c>
      <c r="F17" s="10" t="s">
        <v>18</v>
      </c>
    </row>
    <row r="18" spans="1:6" x14ac:dyDescent="0.2">
      <c r="A18" s="8">
        <v>0.54680555555555554</v>
      </c>
      <c r="B18" s="6">
        <v>10.445309999999999</v>
      </c>
      <c r="C18" s="10">
        <v>0</v>
      </c>
      <c r="D18" s="10" t="s">
        <v>25</v>
      </c>
      <c r="E18" s="10" t="s">
        <v>25</v>
      </c>
      <c r="F18" s="10" t="s">
        <v>25</v>
      </c>
    </row>
    <row r="19" spans="1:6" x14ac:dyDescent="0.2">
      <c r="A19" s="8">
        <v>0.54681712962962958</v>
      </c>
      <c r="B19" s="6">
        <v>10.945309999999999</v>
      </c>
      <c r="C19" s="10">
        <v>0</v>
      </c>
      <c r="D19" s="10" t="s">
        <v>25</v>
      </c>
      <c r="E19" s="10" t="s">
        <v>25</v>
      </c>
      <c r="F19" s="10" t="s">
        <v>25</v>
      </c>
    </row>
    <row r="20" spans="1:6" x14ac:dyDescent="0.2">
      <c r="A20" s="8">
        <v>0.54681712962962958</v>
      </c>
      <c r="B20" s="6">
        <v>11.445309999999999</v>
      </c>
      <c r="C20" s="10">
        <v>0</v>
      </c>
      <c r="D20" s="10" t="s">
        <v>25</v>
      </c>
      <c r="E20" s="10" t="s">
        <v>25</v>
      </c>
      <c r="F20" s="10" t="s">
        <v>25</v>
      </c>
    </row>
    <row r="21" spans="1:6" x14ac:dyDescent="0.2">
      <c r="A21" s="8">
        <v>0.54682870370370373</v>
      </c>
      <c r="B21" s="6">
        <v>11.94922</v>
      </c>
      <c r="C21" s="10">
        <v>0</v>
      </c>
      <c r="D21" s="10" t="s">
        <v>25</v>
      </c>
      <c r="E21" s="10" t="s">
        <v>25</v>
      </c>
      <c r="F21" s="10" t="s">
        <v>25</v>
      </c>
    </row>
    <row r="22" spans="1:6" x14ac:dyDescent="0.2">
      <c r="A22" s="8">
        <v>0.54682870370370373</v>
      </c>
      <c r="B22" s="6">
        <v>12.48047</v>
      </c>
      <c r="C22" s="4">
        <v>0</v>
      </c>
      <c r="D22" s="4" t="s">
        <v>17</v>
      </c>
      <c r="E22" s="9">
        <v>0.59</v>
      </c>
      <c r="F22" s="4" t="s">
        <v>18</v>
      </c>
    </row>
    <row r="23" spans="1:6" x14ac:dyDescent="0.2">
      <c r="A23" s="8">
        <v>0.54684027777777777</v>
      </c>
      <c r="B23" s="6">
        <v>12.98047</v>
      </c>
      <c r="C23" s="4">
        <v>1</v>
      </c>
      <c r="D23" s="4" t="s">
        <v>25</v>
      </c>
      <c r="E23" s="4" t="s">
        <v>25</v>
      </c>
      <c r="F23" s="4" t="s">
        <v>25</v>
      </c>
    </row>
    <row r="24" spans="1:6" x14ac:dyDescent="0.2">
      <c r="A24" s="8">
        <v>0.54684027777777777</v>
      </c>
      <c r="B24" s="6">
        <v>13.48047</v>
      </c>
      <c r="C24" s="4">
        <v>1</v>
      </c>
      <c r="D24" s="4" t="s">
        <v>25</v>
      </c>
      <c r="E24" s="4" t="s">
        <v>25</v>
      </c>
      <c r="F24" s="4" t="s">
        <v>25</v>
      </c>
    </row>
    <row r="25" spans="1:6" x14ac:dyDescent="0.2">
      <c r="A25" s="8">
        <v>0.54685185185185181</v>
      </c>
      <c r="B25" s="6">
        <v>13.996090000000001</v>
      </c>
      <c r="C25" s="4">
        <v>4</v>
      </c>
      <c r="D25" s="4" t="s">
        <v>25</v>
      </c>
      <c r="E25" s="4" t="s">
        <v>25</v>
      </c>
      <c r="F25" s="4" t="s">
        <v>25</v>
      </c>
    </row>
    <row r="26" spans="1:6" x14ac:dyDescent="0.2">
      <c r="A26" s="8">
        <v>0.54685185185185181</v>
      </c>
      <c r="B26" s="6">
        <v>14.492190000000001</v>
      </c>
      <c r="C26" s="4">
        <v>1</v>
      </c>
      <c r="D26" s="4" t="s">
        <v>25</v>
      </c>
      <c r="E26" s="4" t="s">
        <v>25</v>
      </c>
      <c r="F26" s="4" t="s">
        <v>25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352D-C6A6-4D7C-B68E-A72CFD7B802E}">
  <sheetPr codeName="工作表2"/>
  <dimension ref="A1:P47"/>
  <sheetViews>
    <sheetView workbookViewId="0">
      <selection activeCell="G22" sqref="G2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11" customWidth="1"/>
  </cols>
  <sheetData>
    <row r="1" spans="1:16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16" x14ac:dyDescent="0.2">
      <c r="A2" s="8">
        <v>0.5499074074074074</v>
      </c>
      <c r="B2" s="6">
        <v>1.796875</v>
      </c>
      <c r="C2" s="10">
        <v>790</v>
      </c>
      <c r="D2" s="10" t="s">
        <v>25</v>
      </c>
      <c r="E2" s="10" t="s">
        <v>25</v>
      </c>
      <c r="F2" s="10" t="s">
        <v>25</v>
      </c>
      <c r="G2" s="11"/>
      <c r="H2" s="11">
        <f>AVERAGE(C2:C22)</f>
        <v>788.80952380952385</v>
      </c>
      <c r="I2" s="11"/>
      <c r="J2" s="11"/>
      <c r="K2" s="11"/>
      <c r="L2" s="11"/>
      <c r="M2" s="11"/>
      <c r="N2" s="11"/>
      <c r="O2" s="11"/>
      <c r="P2" s="11"/>
    </row>
    <row r="3" spans="1:16" x14ac:dyDescent="0.2">
      <c r="A3" s="8">
        <v>0.54991898148148144</v>
      </c>
      <c r="B3" s="6">
        <v>2.265625</v>
      </c>
      <c r="C3" s="10">
        <v>788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27.017084213703583</v>
      </c>
      <c r="I3" s="11"/>
      <c r="J3" s="11"/>
      <c r="K3" s="11"/>
      <c r="L3" s="11"/>
      <c r="M3" s="11"/>
      <c r="N3" s="11"/>
      <c r="O3" s="11"/>
      <c r="P3" s="11"/>
    </row>
    <row r="4" spans="1:16" x14ac:dyDescent="0.2">
      <c r="A4" s="8">
        <v>0.54991898148148144</v>
      </c>
      <c r="B4" s="6">
        <v>2.765625</v>
      </c>
      <c r="C4" s="10">
        <v>786</v>
      </c>
      <c r="D4" s="10" t="s">
        <v>25</v>
      </c>
      <c r="E4" s="10" t="s">
        <v>25</v>
      </c>
      <c r="F4" s="10" t="s">
        <v>25</v>
      </c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">
      <c r="A5" s="8">
        <v>0.54993055555555559</v>
      </c>
      <c r="B5" s="6">
        <v>3.28125</v>
      </c>
      <c r="C5" s="10">
        <v>786</v>
      </c>
      <c r="D5" s="10" t="s">
        <v>33</v>
      </c>
      <c r="E5" s="9">
        <v>0.57999999999999996</v>
      </c>
      <c r="F5" s="10" t="s">
        <v>18</v>
      </c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x14ac:dyDescent="0.2">
      <c r="A6" s="8">
        <v>0.54993055555555559</v>
      </c>
      <c r="B6" s="6">
        <v>3.796875</v>
      </c>
      <c r="C6" s="10">
        <v>787</v>
      </c>
      <c r="D6" s="10" t="s">
        <v>25</v>
      </c>
      <c r="E6" s="10" t="s">
        <v>25</v>
      </c>
      <c r="F6" s="10" t="s">
        <v>25</v>
      </c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x14ac:dyDescent="0.2">
      <c r="A7" s="8">
        <v>0.54994212962962963</v>
      </c>
      <c r="B7" s="6">
        <v>4.296875</v>
      </c>
      <c r="C7" s="10">
        <v>788</v>
      </c>
      <c r="D7" s="10" t="s">
        <v>25</v>
      </c>
      <c r="E7" s="10" t="s">
        <v>25</v>
      </c>
      <c r="F7" s="10" t="s">
        <v>25</v>
      </c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">
      <c r="A8" s="8">
        <v>0.54994212962962963</v>
      </c>
      <c r="B8" s="6">
        <v>4.8125</v>
      </c>
      <c r="C8" s="10">
        <v>789</v>
      </c>
      <c r="D8" s="10" t="s">
        <v>25</v>
      </c>
      <c r="E8" s="10" t="s">
        <v>25</v>
      </c>
      <c r="F8" s="10" t="s">
        <v>25</v>
      </c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">
      <c r="A9" s="8">
        <v>0.54995370370370367</v>
      </c>
      <c r="B9" s="6">
        <v>5.3125</v>
      </c>
      <c r="C9" s="10">
        <v>790</v>
      </c>
      <c r="D9" s="10" t="s">
        <v>25</v>
      </c>
      <c r="E9" s="10" t="s">
        <v>25</v>
      </c>
      <c r="F9" s="10" t="s">
        <v>25</v>
      </c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">
      <c r="A10" s="8">
        <v>0.54995370370370367</v>
      </c>
      <c r="B10" s="6">
        <v>5.828125</v>
      </c>
      <c r="C10" s="10">
        <v>789</v>
      </c>
      <c r="D10" s="10" t="s">
        <v>33</v>
      </c>
      <c r="E10" s="9">
        <v>0.57999999999999996</v>
      </c>
      <c r="F10" s="10" t="s">
        <v>18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x14ac:dyDescent="0.2">
      <c r="A11" s="8">
        <v>0.54996527777777782</v>
      </c>
      <c r="B11" s="6">
        <v>6.3398440000000003</v>
      </c>
      <c r="C11" s="10">
        <v>787</v>
      </c>
      <c r="D11" s="10" t="s">
        <v>25</v>
      </c>
      <c r="E11" s="10" t="s">
        <v>25</v>
      </c>
      <c r="F11" s="10" t="s">
        <v>25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x14ac:dyDescent="0.2">
      <c r="A12" s="8">
        <v>0.54996527777777782</v>
      </c>
      <c r="B12" s="6">
        <v>6.8398440000000003</v>
      </c>
      <c r="C12" s="10">
        <v>788</v>
      </c>
      <c r="D12" s="10" t="s">
        <v>25</v>
      </c>
      <c r="E12" s="10" t="s">
        <v>25</v>
      </c>
      <c r="F12" s="10" t="s">
        <v>25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x14ac:dyDescent="0.2">
      <c r="A13" s="8">
        <v>0.54997685185185186</v>
      </c>
      <c r="B13" s="6">
        <v>7.359375</v>
      </c>
      <c r="C13" s="10">
        <v>791</v>
      </c>
      <c r="D13" s="10" t="s">
        <v>25</v>
      </c>
      <c r="E13" s="10" t="s">
        <v>25</v>
      </c>
      <c r="F13" s="10" t="s">
        <v>25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x14ac:dyDescent="0.2">
      <c r="A14" s="8">
        <v>0.54997685185185186</v>
      </c>
      <c r="B14" s="6">
        <v>7.859375</v>
      </c>
      <c r="C14" s="10">
        <v>788</v>
      </c>
      <c r="D14" s="10" t="s">
        <v>25</v>
      </c>
      <c r="E14" s="10" t="s">
        <v>25</v>
      </c>
      <c r="F14" s="10" t="s">
        <v>25</v>
      </c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x14ac:dyDescent="0.2">
      <c r="A15" s="8">
        <v>0.54998842592592589</v>
      </c>
      <c r="B15" s="6">
        <v>8.3710939999999994</v>
      </c>
      <c r="C15" s="10">
        <v>788</v>
      </c>
      <c r="D15" s="10" t="s">
        <v>33</v>
      </c>
      <c r="E15" s="9">
        <v>0.57999999999999996</v>
      </c>
      <c r="F15" s="10" t="s">
        <v>18</v>
      </c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x14ac:dyDescent="0.2">
      <c r="A16" s="8">
        <v>0.54998842592592589</v>
      </c>
      <c r="B16" s="6">
        <v>8.8867189999999994</v>
      </c>
      <c r="C16" s="10">
        <v>791</v>
      </c>
      <c r="D16" s="10" t="s">
        <v>25</v>
      </c>
      <c r="E16" s="10" t="s">
        <v>25</v>
      </c>
      <c r="F16" s="10" t="s">
        <v>25</v>
      </c>
      <c r="G16" s="11"/>
      <c r="H16" s="11"/>
      <c r="I16" s="11"/>
      <c r="J16" s="11"/>
      <c r="K16" s="11"/>
      <c r="L16" s="11"/>
      <c r="M16" s="11"/>
      <c r="N16" s="11"/>
      <c r="O16" s="11"/>
      <c r="P16" s="12"/>
    </row>
    <row r="17" spans="1:16" x14ac:dyDescent="0.2">
      <c r="A17" s="8">
        <v>0.55000000000000004</v>
      </c>
      <c r="B17" s="6">
        <v>9.3867189999999994</v>
      </c>
      <c r="C17" s="10">
        <v>789</v>
      </c>
      <c r="D17" s="10" t="s">
        <v>25</v>
      </c>
      <c r="E17" s="10" t="s">
        <v>25</v>
      </c>
      <c r="F17" s="10" t="s">
        <v>25</v>
      </c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2">
      <c r="A18" s="8">
        <v>0.55000000000000004</v>
      </c>
      <c r="B18" s="6">
        <v>9.8867189999999994</v>
      </c>
      <c r="C18" s="10">
        <v>789</v>
      </c>
      <c r="D18" s="10" t="s">
        <v>25</v>
      </c>
      <c r="E18" s="10" t="s">
        <v>25</v>
      </c>
      <c r="F18" s="10" t="s">
        <v>25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2">
      <c r="A19" s="8">
        <v>0.55001157407407408</v>
      </c>
      <c r="B19" s="6">
        <v>10.38672</v>
      </c>
      <c r="C19" s="10">
        <v>791</v>
      </c>
      <c r="D19" s="10" t="s">
        <v>25</v>
      </c>
      <c r="E19" s="10" t="s">
        <v>25</v>
      </c>
      <c r="F19" s="10" t="s">
        <v>25</v>
      </c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">
      <c r="A20" s="8">
        <v>0.55001157407407408</v>
      </c>
      <c r="B20" s="6">
        <v>10.91797</v>
      </c>
      <c r="C20" s="10">
        <v>792</v>
      </c>
      <c r="D20" s="10" t="s">
        <v>33</v>
      </c>
      <c r="E20" s="9">
        <v>0.57999999999999996</v>
      </c>
      <c r="F20" s="10" t="s">
        <v>18</v>
      </c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">
      <c r="A21" s="8">
        <v>0.55002314814814812</v>
      </c>
      <c r="B21" s="6">
        <v>11.4375</v>
      </c>
      <c r="C21" s="10">
        <v>790</v>
      </c>
      <c r="D21" s="10" t="s">
        <v>25</v>
      </c>
      <c r="E21" s="10" t="s">
        <v>25</v>
      </c>
      <c r="F21" s="10" t="s">
        <v>25</v>
      </c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">
      <c r="A22" s="8">
        <v>0.55002314814814812</v>
      </c>
      <c r="B22" s="6">
        <v>11.933590000000001</v>
      </c>
      <c r="C22" s="10">
        <v>788</v>
      </c>
      <c r="D22" s="10" t="s">
        <v>25</v>
      </c>
      <c r="E22" s="10" t="s">
        <v>25</v>
      </c>
      <c r="F22" s="10" t="s">
        <v>25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2">
      <c r="A23" s="10"/>
      <c r="C23" s="10"/>
      <c r="D23" s="10"/>
      <c r="E23" s="10"/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2">
      <c r="A24" s="10"/>
      <c r="C24" s="10"/>
      <c r="D24" s="10"/>
      <c r="E24" s="10"/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2">
      <c r="A25" s="10"/>
      <c r="C25" s="10"/>
      <c r="D25" s="10"/>
      <c r="E25" s="10"/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2">
      <c r="A26" s="10"/>
      <c r="C26" s="10"/>
      <c r="D26" s="10"/>
      <c r="E26" s="10"/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">
      <c r="A27" s="10"/>
      <c r="C27" s="10"/>
      <c r="D27" s="10"/>
      <c r="E27" s="10"/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">
      <c r="A28" s="10"/>
      <c r="C28" s="10"/>
      <c r="D28" s="10"/>
      <c r="E28" s="10"/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">
      <c r="A29" s="10"/>
      <c r="C29" s="10"/>
      <c r="D29" s="10"/>
      <c r="E29" s="10"/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">
      <c r="A30" s="10"/>
      <c r="C30" s="10"/>
      <c r="D30" s="10"/>
      <c r="E30" s="10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">
      <c r="A31" s="10"/>
      <c r="C31" s="10"/>
      <c r="D31" s="10"/>
      <c r="E31" s="10"/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">
      <c r="A32" s="10"/>
      <c r="C32" s="10"/>
      <c r="D32" s="10"/>
      <c r="E32" s="10"/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x14ac:dyDescent="0.2">
      <c r="A33" s="10"/>
      <c r="C33" s="10"/>
      <c r="D33" s="10"/>
      <c r="E33" s="10"/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x14ac:dyDescent="0.2">
      <c r="A34" s="10"/>
      <c r="C34" s="10"/>
      <c r="D34" s="10"/>
      <c r="E34" s="10"/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x14ac:dyDescent="0.2">
      <c r="A35" s="10"/>
      <c r="C35" s="10"/>
      <c r="D35" s="10"/>
      <c r="E35" s="10"/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x14ac:dyDescent="0.2">
      <c r="A36" s="10"/>
      <c r="C36" s="10"/>
      <c r="D36" s="10"/>
      <c r="E36" s="10"/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 x14ac:dyDescent="0.2">
      <c r="A37" s="10"/>
      <c r="C37" s="10"/>
      <c r="D37" s="10"/>
      <c r="E37" s="10"/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10"/>
      <c r="C38" s="10"/>
      <c r="D38" s="10"/>
      <c r="E38" s="10"/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 x14ac:dyDescent="0.2">
      <c r="A39" s="10"/>
      <c r="C39" s="10"/>
      <c r="D39" s="10"/>
      <c r="E39" s="10"/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 x14ac:dyDescent="0.2">
      <c r="A40" s="10"/>
      <c r="C40" s="10"/>
      <c r="D40" s="10"/>
      <c r="E40" s="10"/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x14ac:dyDescent="0.2">
      <c r="A41" s="10"/>
      <c r="C41" s="10"/>
      <c r="D41" s="10"/>
      <c r="E41" s="10"/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 x14ac:dyDescent="0.2">
      <c r="A42" s="10"/>
      <c r="C42" s="10"/>
      <c r="D42" s="10"/>
      <c r="E42" s="10"/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 x14ac:dyDescent="0.2">
      <c r="A43" s="10"/>
      <c r="C43" s="10"/>
      <c r="D43" s="10"/>
      <c r="E43" s="10"/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 x14ac:dyDescent="0.2">
      <c r="A44" s="10"/>
      <c r="C44" s="10"/>
      <c r="D44" s="10"/>
      <c r="E44" s="10"/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 x14ac:dyDescent="0.2">
      <c r="A45" s="10"/>
      <c r="C45" s="10"/>
      <c r="D45" s="10"/>
      <c r="E45" s="10"/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 x14ac:dyDescent="0.2">
      <c r="A46" s="10"/>
      <c r="C46" s="10"/>
      <c r="D46" s="10"/>
      <c r="E46" s="10"/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">
      <c r="A47" s="10"/>
      <c r="C47" s="10"/>
      <c r="D47" s="10"/>
      <c r="E47" s="10"/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839F-1D99-46BF-AF34-6A2DE71523D6}">
  <sheetPr codeName="工作表3"/>
  <dimension ref="A1:H21"/>
  <sheetViews>
    <sheetView topLeftCell="B1" workbookViewId="0">
      <selection activeCell="G2" sqref="G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0.54822916666666666</v>
      </c>
      <c r="B2" s="6">
        <v>1.796875</v>
      </c>
      <c r="C2" s="4">
        <v>787</v>
      </c>
      <c r="D2" s="4" t="s">
        <v>25</v>
      </c>
      <c r="E2" s="4" t="s">
        <v>25</v>
      </c>
      <c r="F2" s="4" t="s">
        <v>25</v>
      </c>
      <c r="H2" s="11">
        <f>AVERAGE(C2:C22)</f>
        <v>787.15</v>
      </c>
    </row>
    <row r="3" spans="1:8" x14ac:dyDescent="0.2">
      <c r="A3" s="8">
        <v>0.5482407407407407</v>
      </c>
      <c r="B3" s="6">
        <v>2.265625</v>
      </c>
      <c r="C3" s="4">
        <v>785</v>
      </c>
      <c r="D3" s="4" t="s">
        <v>25</v>
      </c>
      <c r="E3" s="4" t="s">
        <v>25</v>
      </c>
      <c r="F3" s="4" t="s">
        <v>25</v>
      </c>
      <c r="H3" s="11">
        <f>91*(1023-H2)/H2</f>
        <v>27.26589595375723</v>
      </c>
    </row>
    <row r="4" spans="1:8" x14ac:dyDescent="0.2">
      <c r="A4" s="8">
        <v>0.5482407407407407</v>
      </c>
      <c r="B4" s="6">
        <v>2.765625</v>
      </c>
      <c r="C4" s="4">
        <v>786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0.54825231481481485</v>
      </c>
      <c r="B5" s="6">
        <v>3.296875</v>
      </c>
      <c r="C5" s="4">
        <v>787</v>
      </c>
      <c r="D5" s="4" t="s">
        <v>17</v>
      </c>
      <c r="E5" s="9">
        <v>0.57999999999999996</v>
      </c>
      <c r="F5" s="4" t="s">
        <v>18</v>
      </c>
    </row>
    <row r="6" spans="1:8" x14ac:dyDescent="0.2">
      <c r="A6" s="8">
        <v>0.54825231481481485</v>
      </c>
      <c r="B6" s="6">
        <v>3.8125</v>
      </c>
      <c r="C6" s="4">
        <v>786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0.54826388888888888</v>
      </c>
      <c r="B7" s="6">
        <v>4.3125</v>
      </c>
      <c r="C7" s="4">
        <v>787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0.54826388888888888</v>
      </c>
      <c r="B8" s="6">
        <v>4.8125</v>
      </c>
      <c r="C8" s="4">
        <v>788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0.54827546296296292</v>
      </c>
      <c r="B9" s="6">
        <v>5.3125</v>
      </c>
      <c r="C9" s="4">
        <v>786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0.54828703703703707</v>
      </c>
      <c r="B10" s="6">
        <v>5.828125</v>
      </c>
      <c r="C10" s="4">
        <v>788</v>
      </c>
      <c r="D10" s="4" t="s">
        <v>17</v>
      </c>
      <c r="E10" s="9">
        <v>0.57999999999999996</v>
      </c>
      <c r="F10" s="4" t="s">
        <v>18</v>
      </c>
    </row>
    <row r="11" spans="1:8" x14ac:dyDescent="0.2">
      <c r="A11" s="8">
        <v>0.54828703703703707</v>
      </c>
      <c r="B11" s="6">
        <v>6.34375</v>
      </c>
      <c r="C11" s="4">
        <v>787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0.54829861111111111</v>
      </c>
      <c r="B12" s="6">
        <v>6.8398440000000003</v>
      </c>
      <c r="C12" s="4">
        <v>788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0.54829861111111111</v>
      </c>
      <c r="B13" s="6">
        <v>7.3398440000000003</v>
      </c>
      <c r="C13" s="4">
        <v>786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0.54831018518518515</v>
      </c>
      <c r="B14" s="6">
        <v>7.8554690000000003</v>
      </c>
      <c r="C14" s="4">
        <v>787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0.54831018518518515</v>
      </c>
      <c r="B15" s="6">
        <v>8.375</v>
      </c>
      <c r="C15" s="4">
        <v>787</v>
      </c>
      <c r="D15" s="4" t="s">
        <v>17</v>
      </c>
      <c r="E15" s="9">
        <v>0.57999999999999996</v>
      </c>
      <c r="F15" s="4" t="s">
        <v>18</v>
      </c>
    </row>
    <row r="16" spans="1:8" x14ac:dyDescent="0.2">
      <c r="A16" s="8">
        <v>0.5483217592592593</v>
      </c>
      <c r="B16" s="6">
        <v>8.8867189999999994</v>
      </c>
      <c r="C16" s="4">
        <v>788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0.5483217592592593</v>
      </c>
      <c r="B17" s="6">
        <v>9.3867189999999994</v>
      </c>
      <c r="C17" s="4">
        <v>789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0.54833333333333334</v>
      </c>
      <c r="B18" s="6">
        <v>9.8867189999999994</v>
      </c>
      <c r="C18" s="4">
        <v>787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0.54833333333333334</v>
      </c>
      <c r="B19" s="6">
        <v>10.38672</v>
      </c>
      <c r="C19" s="4">
        <v>787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0.54834490740740738</v>
      </c>
      <c r="B20" s="6">
        <v>10.91797</v>
      </c>
      <c r="C20" s="4">
        <v>789</v>
      </c>
      <c r="D20" s="4" t="s">
        <v>19</v>
      </c>
      <c r="E20" s="4" t="s">
        <v>19</v>
      </c>
      <c r="F20" s="4">
        <v>21</v>
      </c>
    </row>
    <row r="21" spans="1:6" x14ac:dyDescent="0.2">
      <c r="A21" s="8">
        <v>0.54834490740740738</v>
      </c>
      <c r="B21" s="6">
        <v>11.433590000000001</v>
      </c>
      <c r="C21" s="4">
        <v>788</v>
      </c>
      <c r="D21" s="4" t="s">
        <v>19</v>
      </c>
      <c r="E21" s="4" t="s">
        <v>19</v>
      </c>
      <c r="F21" s="4">
        <v>3088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1A98-4A7E-4ECE-BBB3-539C19F99775}">
  <sheetPr codeName="工作表4"/>
  <dimension ref="A1:Q21"/>
  <sheetViews>
    <sheetView workbookViewId="0">
      <selection activeCell="G3" sqref="G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0.7109375" customWidth="1"/>
    <col min="15" max="15" width="11.42578125" bestFit="1" customWidth="1"/>
    <col min="17" max="17" width="11.42578125" bestFit="1" customWidth="1"/>
  </cols>
  <sheetData>
    <row r="1" spans="1:17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17" x14ac:dyDescent="0.2">
      <c r="A2" s="10"/>
      <c r="B2" s="10"/>
      <c r="C2" s="10"/>
      <c r="D2" s="10"/>
      <c r="E2" s="10"/>
      <c r="F2" s="10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x14ac:dyDescent="0.2">
      <c r="A3" s="10"/>
      <c r="B3" s="10"/>
      <c r="C3" s="10"/>
      <c r="D3" s="10"/>
      <c r="E3" s="10"/>
      <c r="F3" s="10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x14ac:dyDescent="0.2">
      <c r="A4" s="10"/>
      <c r="B4" s="10"/>
      <c r="C4" s="10"/>
      <c r="D4" s="10"/>
      <c r="E4" s="10"/>
      <c r="F4" s="10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x14ac:dyDescent="0.2">
      <c r="A5" s="10"/>
      <c r="B5" s="10"/>
      <c r="C5" s="10"/>
      <c r="D5" s="10"/>
      <c r="E5" s="10"/>
      <c r="F5" s="10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x14ac:dyDescent="0.2">
      <c r="A6" s="10"/>
      <c r="B6" s="10"/>
      <c r="C6" s="10"/>
      <c r="D6" s="10"/>
      <c r="E6" s="10"/>
      <c r="F6" s="10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x14ac:dyDescent="0.2">
      <c r="A7" s="10"/>
      <c r="B7" s="10"/>
      <c r="C7" s="10"/>
      <c r="D7" s="10"/>
      <c r="E7" s="10"/>
      <c r="F7" s="10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x14ac:dyDescent="0.2">
      <c r="A8" s="10"/>
      <c r="B8" s="10"/>
      <c r="C8" s="10"/>
      <c r="D8" s="10"/>
      <c r="E8" s="10"/>
      <c r="F8" s="10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2">
      <c r="A9" s="10"/>
      <c r="B9" s="10"/>
      <c r="C9" s="10"/>
      <c r="D9" s="10"/>
      <c r="E9" s="10"/>
      <c r="F9" s="10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x14ac:dyDescent="0.2">
      <c r="A10" s="10"/>
      <c r="B10" s="10"/>
      <c r="C10" s="10"/>
      <c r="D10" s="10"/>
      <c r="E10" s="10"/>
      <c r="F10" s="10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x14ac:dyDescent="0.2">
      <c r="A11" s="10"/>
      <c r="B11" s="10"/>
      <c r="C11" s="10"/>
      <c r="D11" s="10"/>
      <c r="E11" s="10"/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x14ac:dyDescent="0.2">
      <c r="A12" s="10"/>
      <c r="B12" s="10"/>
      <c r="C12" s="10"/>
      <c r="D12" s="10"/>
      <c r="E12" s="10"/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x14ac:dyDescent="0.2">
      <c r="A13" s="10"/>
      <c r="B13" s="10"/>
      <c r="C13" s="10"/>
      <c r="D13" s="10"/>
      <c r="E13" s="10"/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x14ac:dyDescent="0.2">
      <c r="A14" s="10"/>
      <c r="B14" s="10"/>
      <c r="C14" s="10"/>
      <c r="D14" s="10"/>
      <c r="E14" s="10"/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x14ac:dyDescent="0.2">
      <c r="A15" s="10"/>
      <c r="B15" s="10"/>
      <c r="C15" s="10"/>
      <c r="D15" s="10"/>
      <c r="E15" s="10"/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x14ac:dyDescent="0.2">
      <c r="A16" s="10"/>
      <c r="B16" s="10"/>
      <c r="C16" s="10"/>
      <c r="D16" s="10"/>
      <c r="E16" s="10"/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x14ac:dyDescent="0.2">
      <c r="A17" s="10"/>
      <c r="B17" s="10"/>
      <c r="C17" s="10"/>
      <c r="D17" s="10"/>
      <c r="E17" s="10"/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x14ac:dyDescent="0.2">
      <c r="A18" s="10"/>
      <c r="B18" s="10"/>
      <c r="C18" s="10"/>
      <c r="D18" s="10"/>
      <c r="E18" s="10"/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x14ac:dyDescent="0.2">
      <c r="A19" s="10"/>
      <c r="B19" s="10"/>
      <c r="C19" s="10"/>
      <c r="D19" s="10"/>
      <c r="E19" s="10"/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x14ac:dyDescent="0.2">
      <c r="A20" s="10"/>
      <c r="B20" s="10"/>
      <c r="C20" s="10"/>
      <c r="D20" s="10"/>
      <c r="E20" s="10"/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x14ac:dyDescent="0.2">
      <c r="A21" s="10"/>
      <c r="B21" s="10"/>
      <c r="C21" s="10"/>
      <c r="D21" s="10"/>
      <c r="E21" s="10"/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sheetPr codeName="工作表5"/>
  <dimension ref="A1:I22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1.42578125" bestFit="1" customWidth="1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0.58761574074074074</v>
      </c>
      <c r="B2" s="6">
        <v>1.792969</v>
      </c>
      <c r="C2" s="10">
        <v>768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768.05</v>
      </c>
      <c r="I2" s="11"/>
    </row>
    <row r="3" spans="1:9" x14ac:dyDescent="0.2">
      <c r="A3" s="8">
        <v>0.58761574074074074</v>
      </c>
      <c r="B3" s="6">
        <v>2.2617189999999998</v>
      </c>
      <c r="C3" s="10">
        <v>768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30.206952672352067</v>
      </c>
      <c r="I3" s="11"/>
    </row>
    <row r="4" spans="1:9" x14ac:dyDescent="0.2">
      <c r="A4" s="8">
        <v>0.58762731481481478</v>
      </c>
      <c r="B4" s="6">
        <v>2.7773439999999998</v>
      </c>
      <c r="C4" s="10">
        <v>768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0.58762731481481478</v>
      </c>
      <c r="B5" s="6">
        <v>3.2929689999999998</v>
      </c>
      <c r="C5" s="10">
        <v>764</v>
      </c>
      <c r="D5" s="10" t="s">
        <v>17</v>
      </c>
      <c r="E5" s="9">
        <v>0.64</v>
      </c>
      <c r="F5" s="10" t="s">
        <v>18</v>
      </c>
      <c r="G5" s="11"/>
      <c r="H5" s="11"/>
      <c r="I5" s="11"/>
    </row>
    <row r="6" spans="1:9" x14ac:dyDescent="0.2">
      <c r="A6" s="8">
        <v>0.58763888888888893</v>
      </c>
      <c r="B6" s="6">
        <v>3.8085939999999998</v>
      </c>
      <c r="C6" s="10">
        <v>768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0.58763888888888893</v>
      </c>
      <c r="B7" s="6">
        <v>4.3085940000000003</v>
      </c>
      <c r="C7" s="10">
        <v>767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0.58765046296296297</v>
      </c>
      <c r="B8" s="6">
        <v>4.8085940000000003</v>
      </c>
      <c r="C8" s="10">
        <v>767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0.58765046296296297</v>
      </c>
      <c r="B9" s="6">
        <v>5.3085940000000003</v>
      </c>
      <c r="C9" s="10">
        <v>767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0.58766203703703701</v>
      </c>
      <c r="B10" s="6">
        <v>5.8398440000000003</v>
      </c>
      <c r="C10" s="10">
        <v>770</v>
      </c>
      <c r="D10" s="10" t="s">
        <v>17</v>
      </c>
      <c r="E10" s="9">
        <v>0.64</v>
      </c>
      <c r="F10" s="10" t="s">
        <v>18</v>
      </c>
      <c r="G10" s="11"/>
      <c r="H10" s="11"/>
      <c r="I10" s="11"/>
    </row>
    <row r="11" spans="1:9" x14ac:dyDescent="0.2">
      <c r="A11" s="8">
        <v>0.58766203703703701</v>
      </c>
      <c r="B11" s="6">
        <v>6.3554690000000003</v>
      </c>
      <c r="C11" s="10">
        <v>767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0.58767361111111116</v>
      </c>
      <c r="B12" s="6">
        <v>6.8554690000000003</v>
      </c>
      <c r="C12" s="10">
        <v>768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0.58767361111111116</v>
      </c>
      <c r="B13" s="6">
        <v>7.3554690000000003</v>
      </c>
      <c r="C13" s="10">
        <v>770</v>
      </c>
      <c r="D13" s="10" t="s">
        <v>25</v>
      </c>
      <c r="E13" s="10" t="s">
        <v>25</v>
      </c>
      <c r="F13" s="10" t="s">
        <v>25</v>
      </c>
      <c r="G13" s="11"/>
      <c r="H13" s="11"/>
      <c r="I13" s="11"/>
    </row>
    <row r="14" spans="1:9" x14ac:dyDescent="0.2">
      <c r="A14" s="8">
        <v>0.5876851851851852</v>
      </c>
      <c r="B14" s="6">
        <v>7.8554690000000003</v>
      </c>
      <c r="C14" s="10">
        <v>769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0.5876851851851852</v>
      </c>
      <c r="B15" s="6">
        <v>8.3710939999999994</v>
      </c>
      <c r="C15" s="10">
        <v>770</v>
      </c>
      <c r="D15" s="10" t="s">
        <v>17</v>
      </c>
      <c r="E15" s="9">
        <v>0.64</v>
      </c>
      <c r="F15" s="10" t="s">
        <v>18</v>
      </c>
      <c r="G15" s="11"/>
      <c r="H15" s="11"/>
      <c r="I15" s="11"/>
    </row>
    <row r="16" spans="1:9" x14ac:dyDescent="0.2">
      <c r="A16" s="8">
        <v>0.58769675925925924</v>
      </c>
      <c r="B16" s="6">
        <v>8.8867189999999994</v>
      </c>
      <c r="C16" s="10">
        <v>769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0.58769675925925924</v>
      </c>
      <c r="B17" s="6">
        <v>9.3867189999999994</v>
      </c>
      <c r="C17" s="10">
        <v>768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0.58770833333333339</v>
      </c>
      <c r="B18" s="6">
        <v>9.9023439999999994</v>
      </c>
      <c r="C18" s="10">
        <v>768</v>
      </c>
      <c r="D18" s="10" t="s">
        <v>25</v>
      </c>
      <c r="E18" s="10" t="s">
        <v>25</v>
      </c>
      <c r="F18" s="10" t="s">
        <v>25</v>
      </c>
      <c r="G18" s="11"/>
      <c r="H18" s="11"/>
      <c r="I18" s="11"/>
    </row>
    <row r="19" spans="1:9" x14ac:dyDescent="0.2">
      <c r="A19" s="8">
        <v>0.58770833333333339</v>
      </c>
      <c r="B19" s="6">
        <v>10.402340000000001</v>
      </c>
      <c r="C19" s="10">
        <v>769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0.58771990740740743</v>
      </c>
      <c r="B20" s="6">
        <v>10.914059999999999</v>
      </c>
      <c r="C20" s="10">
        <v>769</v>
      </c>
      <c r="D20" s="10" t="s">
        <v>17</v>
      </c>
      <c r="E20" s="9">
        <v>0.64</v>
      </c>
      <c r="F20" s="10" t="s">
        <v>18</v>
      </c>
      <c r="G20" s="11"/>
      <c r="H20" s="11"/>
      <c r="I20" s="11"/>
    </row>
    <row r="21" spans="1:9" x14ac:dyDescent="0.2">
      <c r="A21" s="8">
        <v>0.58771990740740743</v>
      </c>
      <c r="B21" s="6">
        <v>11.433590000000001</v>
      </c>
      <c r="C21" s="10">
        <v>767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  <row r="22" spans="1:9" x14ac:dyDescent="0.2">
      <c r="A22" s="10"/>
      <c r="C22" s="10"/>
      <c r="D22" s="10"/>
      <c r="E22" s="10"/>
      <c r="F22" s="10"/>
      <c r="G22" s="11"/>
      <c r="H22" s="11"/>
      <c r="I22" s="1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sheetPr codeName="工作表6"/>
  <dimension ref="A1:I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9.140625" customWidth="1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0.58888888888888891</v>
      </c>
      <c r="B2" s="6">
        <v>1.7890630000000001</v>
      </c>
      <c r="C2" s="10">
        <v>742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742</v>
      </c>
      <c r="I2" s="11"/>
    </row>
    <row r="3" spans="1:9" x14ac:dyDescent="0.2">
      <c r="A3" s="8">
        <v>0.58888888888888891</v>
      </c>
      <c r="B3" s="6">
        <v>2.2734380000000001</v>
      </c>
      <c r="C3" s="10">
        <v>742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34.462264150943398</v>
      </c>
      <c r="I3" s="11"/>
    </row>
    <row r="4" spans="1:9" x14ac:dyDescent="0.2">
      <c r="A4" s="8">
        <v>0.58890046296296295</v>
      </c>
      <c r="B4" s="6">
        <v>2.7734380000000001</v>
      </c>
      <c r="C4" s="10">
        <v>740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0.58890046296296295</v>
      </c>
      <c r="B5" s="6">
        <v>3.2890630000000001</v>
      </c>
      <c r="C5" s="10">
        <v>739</v>
      </c>
      <c r="D5" s="10" t="s">
        <v>17</v>
      </c>
      <c r="E5" s="9">
        <v>0.64</v>
      </c>
      <c r="F5" s="10" t="s">
        <v>18</v>
      </c>
      <c r="G5" s="11"/>
      <c r="H5" s="11"/>
      <c r="I5" s="11"/>
    </row>
    <row r="6" spans="1:9" x14ac:dyDescent="0.2">
      <c r="A6" s="8">
        <v>0.58891203703703698</v>
      </c>
      <c r="B6" s="6">
        <v>3.8046880000000001</v>
      </c>
      <c r="C6" s="10">
        <v>743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0.58891203703703698</v>
      </c>
      <c r="B7" s="6">
        <v>4.3046879999999996</v>
      </c>
      <c r="C7" s="10">
        <v>743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0.58892361111111113</v>
      </c>
      <c r="B8" s="6">
        <v>4.8046879999999996</v>
      </c>
      <c r="C8" s="10">
        <v>740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0.58892361111111113</v>
      </c>
      <c r="B9" s="6">
        <v>5.3046879999999996</v>
      </c>
      <c r="C9" s="10">
        <v>742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0.58893518518518517</v>
      </c>
      <c r="B10" s="6">
        <v>5.8359379999999996</v>
      </c>
      <c r="C10" s="10">
        <v>743</v>
      </c>
      <c r="D10" s="10" t="s">
        <v>17</v>
      </c>
      <c r="E10" s="9">
        <v>0.63</v>
      </c>
      <c r="F10" s="10" t="s">
        <v>18</v>
      </c>
      <c r="G10" s="11"/>
      <c r="H10" s="11"/>
      <c r="I10" s="11"/>
    </row>
    <row r="11" spans="1:9" x14ac:dyDescent="0.2">
      <c r="A11" s="8">
        <v>0.58893518518518517</v>
      </c>
      <c r="B11" s="6">
        <v>6.3515629999999996</v>
      </c>
      <c r="C11" s="10">
        <v>740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0.58894675925925921</v>
      </c>
      <c r="B12" s="6">
        <v>6.8515629999999996</v>
      </c>
      <c r="C12" s="10">
        <v>741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0.58894675925925921</v>
      </c>
      <c r="B13" s="6">
        <v>7.3515629999999996</v>
      </c>
      <c r="C13" s="10">
        <v>744</v>
      </c>
      <c r="D13" s="10" t="s">
        <v>25</v>
      </c>
      <c r="E13" s="10" t="s">
        <v>25</v>
      </c>
      <c r="F13" s="10" t="s">
        <v>25</v>
      </c>
      <c r="G13" s="11"/>
      <c r="H13" s="11"/>
      <c r="I13" s="11"/>
    </row>
    <row r="14" spans="1:9" x14ac:dyDescent="0.2">
      <c r="A14" s="8">
        <v>0.58895833333333336</v>
      </c>
      <c r="B14" s="6">
        <v>7.859375</v>
      </c>
      <c r="C14" s="10">
        <v>742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0.58895833333333336</v>
      </c>
      <c r="B15" s="6">
        <v>8.375</v>
      </c>
      <c r="C15" s="10">
        <v>741</v>
      </c>
      <c r="D15" s="10" t="s">
        <v>17</v>
      </c>
      <c r="E15" s="9">
        <v>0.63</v>
      </c>
      <c r="F15" s="10" t="s">
        <v>18</v>
      </c>
      <c r="G15" s="11"/>
      <c r="H15" s="11"/>
      <c r="I15" s="11"/>
    </row>
    <row r="16" spans="1:9" x14ac:dyDescent="0.2">
      <c r="A16" s="8">
        <v>0.5889699074074074</v>
      </c>
      <c r="B16" s="6">
        <v>8.890625</v>
      </c>
      <c r="C16" s="10">
        <v>744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0.5889699074074074</v>
      </c>
      <c r="B17" s="6">
        <v>9.3867189999999994</v>
      </c>
      <c r="C17" s="10">
        <v>743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0.58898148148148144</v>
      </c>
      <c r="B18" s="6">
        <v>9.8945310000000006</v>
      </c>
      <c r="C18" s="10">
        <v>741</v>
      </c>
      <c r="D18" s="10" t="s">
        <v>25</v>
      </c>
      <c r="E18" s="10" t="s">
        <v>25</v>
      </c>
      <c r="F18" s="10" t="s">
        <v>25</v>
      </c>
      <c r="G18" s="11"/>
      <c r="H18" s="11"/>
      <c r="I18" s="11"/>
    </row>
    <row r="19" spans="1:9" x14ac:dyDescent="0.2">
      <c r="A19" s="8">
        <v>0.58898148148148144</v>
      </c>
      <c r="B19" s="6">
        <v>10.402340000000001</v>
      </c>
      <c r="C19" s="10">
        <v>742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0.58899305555555559</v>
      </c>
      <c r="B20" s="6">
        <v>10.91797</v>
      </c>
      <c r="C20" s="10">
        <v>745</v>
      </c>
      <c r="D20" s="10" t="s">
        <v>17</v>
      </c>
      <c r="E20" s="9">
        <v>0.63</v>
      </c>
      <c r="F20" s="10" t="s">
        <v>18</v>
      </c>
      <c r="G20" s="11"/>
      <c r="H20" s="11"/>
      <c r="I20" s="11"/>
    </row>
    <row r="21" spans="1:9" x14ac:dyDescent="0.2">
      <c r="A21" s="8">
        <v>0.58899305555555559</v>
      </c>
      <c r="B21" s="6">
        <v>11.433590000000001</v>
      </c>
      <c r="C21" s="10">
        <v>743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C74A-1B83-4146-942E-49CD75CE23B4}">
  <sheetPr codeName="工作表7"/>
  <dimension ref="A1:I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0.57876157407407403</v>
      </c>
      <c r="B2" s="6">
        <v>1.792969</v>
      </c>
      <c r="C2" s="10">
        <v>740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743.25</v>
      </c>
      <c r="I2" s="11"/>
    </row>
    <row r="3" spans="1:9" x14ac:dyDescent="0.2">
      <c r="A3" s="8">
        <v>0.57877314814814818</v>
      </c>
      <c r="B3" s="6">
        <v>2.2617189999999998</v>
      </c>
      <c r="C3" s="10">
        <v>741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34.251261352169529</v>
      </c>
      <c r="I3" s="11"/>
    </row>
    <row r="4" spans="1:9" x14ac:dyDescent="0.2">
      <c r="A4" s="8">
        <v>0.57877314814814818</v>
      </c>
      <c r="B4" s="6">
        <v>2.7617189999999998</v>
      </c>
      <c r="C4" s="10">
        <v>745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0.57878472222222221</v>
      </c>
      <c r="B5" s="6">
        <v>3.2773439999999998</v>
      </c>
      <c r="C5" s="10">
        <v>744</v>
      </c>
      <c r="D5" s="10" t="s">
        <v>17</v>
      </c>
      <c r="E5" s="9">
        <v>0.6</v>
      </c>
      <c r="F5" s="10" t="s">
        <v>18</v>
      </c>
      <c r="G5" s="11"/>
      <c r="H5" s="11"/>
      <c r="I5" s="11"/>
    </row>
    <row r="6" spans="1:9" x14ac:dyDescent="0.2">
      <c r="A6" s="8">
        <v>0.57878472222222221</v>
      </c>
      <c r="B6" s="6">
        <v>3.8085939999999998</v>
      </c>
      <c r="C6" s="10">
        <v>743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0.57879629629629625</v>
      </c>
      <c r="B7" s="6">
        <v>4.3085940000000003</v>
      </c>
      <c r="C7" s="10">
        <v>740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0.57879629629629625</v>
      </c>
      <c r="B8" s="6">
        <v>4.8085940000000003</v>
      </c>
      <c r="C8" s="10">
        <v>744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0.5788078703703704</v>
      </c>
      <c r="B9" s="6">
        <v>5.3085940000000003</v>
      </c>
      <c r="C9" s="10">
        <v>744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0.5788078703703704</v>
      </c>
      <c r="B10" s="6">
        <v>5.8242190000000003</v>
      </c>
      <c r="C10" s="10">
        <v>740</v>
      </c>
      <c r="D10" s="10" t="s">
        <v>19</v>
      </c>
      <c r="E10" s="10" t="s">
        <v>19</v>
      </c>
      <c r="F10" s="10">
        <v>21</v>
      </c>
      <c r="G10" s="11"/>
      <c r="H10" s="11"/>
      <c r="I10" s="11"/>
    </row>
    <row r="11" spans="1:9" x14ac:dyDescent="0.2">
      <c r="A11" s="8">
        <v>0.57881944444444444</v>
      </c>
      <c r="B11" s="6">
        <v>6.3554690000000003</v>
      </c>
      <c r="C11" s="10">
        <v>745</v>
      </c>
      <c r="D11" s="10" t="s">
        <v>19</v>
      </c>
      <c r="E11" s="10" t="s">
        <v>19</v>
      </c>
      <c r="F11" s="10">
        <v>3088</v>
      </c>
      <c r="G11" s="11"/>
      <c r="H11" s="11"/>
      <c r="I11" s="11"/>
    </row>
    <row r="12" spans="1:9" x14ac:dyDescent="0.2">
      <c r="A12" s="8">
        <v>0.57881944444444444</v>
      </c>
      <c r="B12" s="6">
        <v>6.8710940000000003</v>
      </c>
      <c r="C12" s="10">
        <v>741</v>
      </c>
      <c r="D12" s="10" t="s">
        <v>19</v>
      </c>
      <c r="E12" s="10" t="s">
        <v>19</v>
      </c>
      <c r="F12" s="10">
        <v>4112</v>
      </c>
      <c r="G12" s="11"/>
      <c r="H12" s="11"/>
      <c r="I12" s="11"/>
    </row>
    <row r="13" spans="1:9" x14ac:dyDescent="0.2">
      <c r="A13" s="8">
        <v>0.57883101851851848</v>
      </c>
      <c r="B13" s="6">
        <v>7.4179690000000003</v>
      </c>
      <c r="C13" s="10">
        <v>742</v>
      </c>
      <c r="D13" s="10" t="s">
        <v>17</v>
      </c>
      <c r="E13" s="9">
        <v>0.6</v>
      </c>
      <c r="F13" s="10" t="s">
        <v>18</v>
      </c>
      <c r="G13" s="11"/>
      <c r="H13" s="11"/>
      <c r="I13" s="11"/>
    </row>
    <row r="14" spans="1:9" x14ac:dyDescent="0.2">
      <c r="A14" s="8">
        <v>0.57883101851851848</v>
      </c>
      <c r="B14" s="6">
        <v>7.9335940000000003</v>
      </c>
      <c r="C14" s="10">
        <v>745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0.57884259259259263</v>
      </c>
      <c r="B15" s="6">
        <v>8.4335939999999994</v>
      </c>
      <c r="C15" s="10">
        <v>746</v>
      </c>
      <c r="D15" s="10" t="s">
        <v>25</v>
      </c>
      <c r="E15" s="10" t="s">
        <v>25</v>
      </c>
      <c r="F15" s="10" t="s">
        <v>25</v>
      </c>
      <c r="G15" s="11"/>
      <c r="H15" s="11"/>
      <c r="I15" s="11"/>
    </row>
    <row r="16" spans="1:9" x14ac:dyDescent="0.2">
      <c r="A16" s="8">
        <v>0.57884259259259263</v>
      </c>
      <c r="B16" s="6">
        <v>8.9335939999999994</v>
      </c>
      <c r="C16" s="10">
        <v>743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0.57885416666666667</v>
      </c>
      <c r="B17" s="6">
        <v>9.4335939999999994</v>
      </c>
      <c r="C17" s="10">
        <v>745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0.57885416666666667</v>
      </c>
      <c r="B18" s="6">
        <v>9.9492189999999994</v>
      </c>
      <c r="C18" s="10">
        <v>748</v>
      </c>
      <c r="D18" s="10" t="s">
        <v>17</v>
      </c>
      <c r="E18" s="9">
        <v>0.6</v>
      </c>
      <c r="F18" s="10" t="s">
        <v>18</v>
      </c>
      <c r="G18" s="11"/>
      <c r="H18" s="11"/>
      <c r="I18" s="11"/>
    </row>
    <row r="19" spans="1:9" x14ac:dyDescent="0.2">
      <c r="A19" s="8">
        <v>0.57886574074074071</v>
      </c>
      <c r="B19" s="6">
        <v>10.48047</v>
      </c>
      <c r="C19" s="10">
        <v>743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0.57887731481481486</v>
      </c>
      <c r="B20" s="6">
        <v>10.98047</v>
      </c>
      <c r="C20" s="10">
        <v>744</v>
      </c>
      <c r="D20" s="10" t="s">
        <v>25</v>
      </c>
      <c r="E20" s="10" t="s">
        <v>25</v>
      </c>
      <c r="F20" s="10" t="s">
        <v>25</v>
      </c>
      <c r="G20" s="11"/>
      <c r="H20" s="11"/>
      <c r="I20" s="11"/>
    </row>
    <row r="21" spans="1:9" x14ac:dyDescent="0.2">
      <c r="A21" s="8">
        <v>0.57887731481481486</v>
      </c>
      <c r="B21" s="6">
        <v>11.48047</v>
      </c>
      <c r="C21" s="10">
        <v>742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DC35-DF02-4223-A257-3C440CB699D4}">
  <sheetPr codeName="工作表8"/>
  <dimension ref="A1:I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0.58081018518518523</v>
      </c>
      <c r="B2" s="6">
        <v>1.796875</v>
      </c>
      <c r="C2" s="10">
        <v>721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721.55</v>
      </c>
      <c r="I2" s="11"/>
    </row>
    <row r="3" spans="1:9" x14ac:dyDescent="0.2">
      <c r="A3" s="8">
        <v>0.58082175925925927</v>
      </c>
      <c r="B3" s="6">
        <v>2.265625</v>
      </c>
      <c r="C3" s="10">
        <v>720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38.018086064721786</v>
      </c>
      <c r="I3" s="11"/>
    </row>
    <row r="4" spans="1:9" x14ac:dyDescent="0.2">
      <c r="A4" s="8">
        <v>0.58082175925925927</v>
      </c>
      <c r="B4" s="6">
        <v>2.765625</v>
      </c>
      <c r="C4" s="10">
        <v>722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0.58083333333333331</v>
      </c>
      <c r="B5" s="6">
        <v>3.296875</v>
      </c>
      <c r="C5" s="10">
        <v>724</v>
      </c>
      <c r="D5" s="10" t="s">
        <v>17</v>
      </c>
      <c r="E5" s="9">
        <v>0.6</v>
      </c>
      <c r="F5" s="10" t="s">
        <v>18</v>
      </c>
      <c r="G5" s="11"/>
      <c r="H5" s="11"/>
      <c r="I5" s="11"/>
    </row>
    <row r="6" spans="1:9" x14ac:dyDescent="0.2">
      <c r="A6" s="8">
        <v>0.58084490740740746</v>
      </c>
      <c r="B6" s="6">
        <v>3.8125</v>
      </c>
      <c r="C6" s="10">
        <v>720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0.58084490740740746</v>
      </c>
      <c r="B7" s="6">
        <v>4.3125</v>
      </c>
      <c r="C7" s="10">
        <v>720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0.5808564814814815</v>
      </c>
      <c r="B8" s="6">
        <v>4.8125</v>
      </c>
      <c r="C8" s="10">
        <v>723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0.5808564814814815</v>
      </c>
      <c r="B9" s="6">
        <v>5.3125</v>
      </c>
      <c r="C9" s="10">
        <v>721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0.58086805555555554</v>
      </c>
      <c r="B10" s="6">
        <v>5.8242190000000003</v>
      </c>
      <c r="C10" s="10">
        <v>720</v>
      </c>
      <c r="D10" s="10" t="s">
        <v>19</v>
      </c>
      <c r="E10" s="10" t="s">
        <v>19</v>
      </c>
      <c r="F10" s="10">
        <v>21</v>
      </c>
      <c r="G10" s="11"/>
      <c r="H10" s="11"/>
      <c r="I10" s="11"/>
    </row>
    <row r="11" spans="1:9" x14ac:dyDescent="0.2">
      <c r="A11" s="8">
        <v>0.58086805555555554</v>
      </c>
      <c r="B11" s="6">
        <v>6.3554690000000003</v>
      </c>
      <c r="C11" s="10">
        <v>724</v>
      </c>
      <c r="D11" s="10" t="s">
        <v>19</v>
      </c>
      <c r="E11" s="10" t="s">
        <v>19</v>
      </c>
      <c r="F11" s="10">
        <v>4112</v>
      </c>
      <c r="G11" s="11"/>
      <c r="H11" s="11"/>
      <c r="I11" s="11"/>
    </row>
    <row r="12" spans="1:9" x14ac:dyDescent="0.2">
      <c r="A12" s="8">
        <v>0.58087962962962958</v>
      </c>
      <c r="B12" s="6">
        <v>6.8710940000000003</v>
      </c>
      <c r="C12" s="10">
        <v>715</v>
      </c>
      <c r="D12" s="10" t="s">
        <v>19</v>
      </c>
      <c r="E12" s="10" t="s">
        <v>19</v>
      </c>
      <c r="F12" s="10">
        <v>4112</v>
      </c>
      <c r="G12" s="11"/>
      <c r="H12" s="11"/>
      <c r="I12" s="11"/>
    </row>
    <row r="13" spans="1:9" x14ac:dyDescent="0.2">
      <c r="A13" s="8">
        <v>0.58087962962962958</v>
      </c>
      <c r="B13" s="6">
        <v>7.4179690000000003</v>
      </c>
      <c r="C13" s="10">
        <v>721</v>
      </c>
      <c r="D13" s="10" t="s">
        <v>17</v>
      </c>
      <c r="E13" s="9">
        <v>0.6</v>
      </c>
      <c r="F13" s="10" t="s">
        <v>18</v>
      </c>
      <c r="G13" s="11"/>
      <c r="H13" s="11"/>
      <c r="I13" s="11"/>
    </row>
    <row r="14" spans="1:9" x14ac:dyDescent="0.2">
      <c r="A14" s="8">
        <v>0.58089120370370373</v>
      </c>
      <c r="B14" s="6">
        <v>7.9335940000000003</v>
      </c>
      <c r="C14" s="10">
        <v>722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0.58089120370370373</v>
      </c>
      <c r="B15" s="6">
        <v>8.4335939999999994</v>
      </c>
      <c r="C15" s="10">
        <v>720</v>
      </c>
      <c r="D15" s="10" t="s">
        <v>25</v>
      </c>
      <c r="E15" s="10" t="s">
        <v>25</v>
      </c>
      <c r="F15" s="10" t="s">
        <v>25</v>
      </c>
      <c r="G15" s="11"/>
      <c r="H15" s="11"/>
      <c r="I15" s="11"/>
    </row>
    <row r="16" spans="1:9" x14ac:dyDescent="0.2">
      <c r="A16" s="8">
        <v>0.58090277777777777</v>
      </c>
      <c r="B16" s="6">
        <v>8.9335939999999994</v>
      </c>
      <c r="C16" s="10">
        <v>724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0.58090277777777777</v>
      </c>
      <c r="B17" s="6">
        <v>9.4335939999999994</v>
      </c>
      <c r="C17" s="10">
        <v>718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0.58091435185185181</v>
      </c>
      <c r="B18" s="6">
        <v>9.9648439999999994</v>
      </c>
      <c r="C18" s="10">
        <v>724</v>
      </c>
      <c r="D18" s="10" t="s">
        <v>17</v>
      </c>
      <c r="E18" s="9">
        <v>0.6</v>
      </c>
      <c r="F18" s="10" t="s">
        <v>18</v>
      </c>
      <c r="G18" s="11"/>
      <c r="H18" s="11"/>
      <c r="I18" s="11"/>
    </row>
    <row r="19" spans="1:9" x14ac:dyDescent="0.2">
      <c r="A19" s="8">
        <v>0.58091435185185181</v>
      </c>
      <c r="B19" s="6">
        <v>10.472659999999999</v>
      </c>
      <c r="C19" s="10">
        <v>725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0.58092592592592596</v>
      </c>
      <c r="B20" s="6">
        <v>10.972659999999999</v>
      </c>
      <c r="C20" s="10">
        <v>726</v>
      </c>
      <c r="D20" s="10" t="s">
        <v>25</v>
      </c>
      <c r="E20" s="10" t="s">
        <v>25</v>
      </c>
      <c r="F20" s="10" t="s">
        <v>25</v>
      </c>
      <c r="G20" s="11"/>
      <c r="H20" s="11"/>
      <c r="I20" s="11"/>
    </row>
    <row r="21" spans="1:9" x14ac:dyDescent="0.2">
      <c r="A21" s="8">
        <v>0.58092592592592596</v>
      </c>
      <c r="B21" s="6">
        <v>11.472659999999999</v>
      </c>
      <c r="C21" s="10">
        <v>721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0C09F-9AFD-4F67-ACB6-A5D5BD5EF4D6}">
  <sheetPr codeName="工作表9"/>
  <dimension ref="A1:I24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0.58193287037037034</v>
      </c>
      <c r="B2" s="6">
        <v>1.777344</v>
      </c>
      <c r="C2" s="10">
        <v>752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749.15</v>
      </c>
      <c r="I2" s="11"/>
    </row>
    <row r="3" spans="1:9" x14ac:dyDescent="0.2">
      <c r="A3" s="8">
        <v>0.58193287037037034</v>
      </c>
      <c r="B3" s="6">
        <v>2.2617189999999998</v>
      </c>
      <c r="C3" s="10">
        <v>748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33.264833477941671</v>
      </c>
      <c r="I3" s="11"/>
    </row>
    <row r="4" spans="1:9" x14ac:dyDescent="0.2">
      <c r="A4" s="8">
        <v>0.58194444444444449</v>
      </c>
      <c r="B4" s="6">
        <v>2.7617189999999998</v>
      </c>
      <c r="C4" s="10">
        <v>749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0.58195601851851853</v>
      </c>
      <c r="B5" s="6">
        <v>3.2773439999999998</v>
      </c>
      <c r="C5" s="10">
        <v>747</v>
      </c>
      <c r="D5" s="10" t="s">
        <v>17</v>
      </c>
      <c r="E5" s="9">
        <v>0.6</v>
      </c>
      <c r="F5" s="10" t="s">
        <v>18</v>
      </c>
      <c r="G5" s="11"/>
      <c r="H5" s="11"/>
      <c r="I5" s="11"/>
    </row>
    <row r="6" spans="1:9" x14ac:dyDescent="0.2">
      <c r="A6" s="8">
        <v>0.58195601851851853</v>
      </c>
      <c r="B6" s="6">
        <v>3.7929689999999998</v>
      </c>
      <c r="C6" s="10">
        <v>751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0.58196759259259256</v>
      </c>
      <c r="B7" s="6">
        <v>4.296875</v>
      </c>
      <c r="C7" s="10">
        <v>751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0.58196759259259256</v>
      </c>
      <c r="B8" s="6">
        <v>4.796875</v>
      </c>
      <c r="C8" s="10">
        <v>749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0.58197916666666671</v>
      </c>
      <c r="B9" s="6">
        <v>5.296875</v>
      </c>
      <c r="C9" s="10">
        <v>751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0.58197916666666671</v>
      </c>
      <c r="B10" s="6">
        <v>5.890625</v>
      </c>
      <c r="C10" s="10">
        <v>748</v>
      </c>
      <c r="D10" s="10" t="s">
        <v>19</v>
      </c>
      <c r="E10" s="10" t="s">
        <v>19</v>
      </c>
      <c r="F10" s="10">
        <v>21</v>
      </c>
      <c r="G10" s="11"/>
      <c r="H10" s="11"/>
      <c r="I10" s="11"/>
    </row>
    <row r="11" spans="1:9" x14ac:dyDescent="0.2">
      <c r="A11" s="8">
        <v>0.58199074074074075</v>
      </c>
      <c r="B11" s="6">
        <v>6.34375</v>
      </c>
      <c r="C11" s="10">
        <v>751</v>
      </c>
      <c r="D11" s="10" t="s">
        <v>19</v>
      </c>
      <c r="E11" s="10" t="s">
        <v>19</v>
      </c>
      <c r="F11" s="10">
        <v>3088</v>
      </c>
      <c r="G11" s="11"/>
      <c r="H11" s="11"/>
      <c r="I11" s="11"/>
    </row>
    <row r="12" spans="1:9" x14ac:dyDescent="0.2">
      <c r="A12" s="8">
        <v>0.58199074074074075</v>
      </c>
      <c r="B12" s="6">
        <v>6.875</v>
      </c>
      <c r="C12" s="10">
        <v>748</v>
      </c>
      <c r="D12" s="10" t="s">
        <v>19</v>
      </c>
      <c r="E12" s="10" t="s">
        <v>19</v>
      </c>
      <c r="F12" s="10">
        <v>4112</v>
      </c>
      <c r="G12" s="11"/>
      <c r="H12" s="11"/>
      <c r="I12" s="11"/>
    </row>
    <row r="13" spans="1:9" x14ac:dyDescent="0.2">
      <c r="A13" s="8">
        <v>0.58200231481481479</v>
      </c>
      <c r="B13" s="6">
        <v>7.40625</v>
      </c>
      <c r="C13" s="10">
        <v>751</v>
      </c>
      <c r="D13" s="10" t="s">
        <v>17</v>
      </c>
      <c r="E13" s="9">
        <v>0.6</v>
      </c>
      <c r="F13" s="10" t="s">
        <v>18</v>
      </c>
      <c r="G13" s="11"/>
      <c r="H13" s="11"/>
      <c r="I13" s="11"/>
    </row>
    <row r="14" spans="1:9" x14ac:dyDescent="0.2">
      <c r="A14" s="8">
        <v>0.58200231481481479</v>
      </c>
      <c r="B14" s="6">
        <v>7.921875</v>
      </c>
      <c r="C14" s="10">
        <v>750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0.58201388888888894</v>
      </c>
      <c r="B15" s="6">
        <v>8.421875</v>
      </c>
      <c r="C15" s="10">
        <v>747</v>
      </c>
      <c r="D15" s="10" t="s">
        <v>25</v>
      </c>
      <c r="E15" s="10" t="s">
        <v>25</v>
      </c>
      <c r="F15" s="10" t="s">
        <v>25</v>
      </c>
      <c r="G15" s="11"/>
      <c r="H15" s="11"/>
      <c r="I15" s="11"/>
    </row>
    <row r="16" spans="1:9" x14ac:dyDescent="0.2">
      <c r="A16" s="8">
        <v>0.58201388888888894</v>
      </c>
      <c r="B16" s="6">
        <v>8.921875</v>
      </c>
      <c r="C16" s="10">
        <v>748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0.58202546296296298</v>
      </c>
      <c r="B17" s="6">
        <v>9.421875</v>
      </c>
      <c r="C17" s="10">
        <v>747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0.58202546296296298</v>
      </c>
      <c r="B18" s="6">
        <v>9.953125</v>
      </c>
      <c r="C18" s="10">
        <v>750</v>
      </c>
      <c r="D18" s="10" t="s">
        <v>19</v>
      </c>
      <c r="E18" s="10" t="s">
        <v>19</v>
      </c>
      <c r="F18" s="10">
        <v>21</v>
      </c>
      <c r="G18" s="11"/>
      <c r="H18" s="11"/>
      <c r="I18" s="11"/>
    </row>
    <row r="19" spans="1:9" x14ac:dyDescent="0.2">
      <c r="A19" s="8">
        <v>0.58203703703703702</v>
      </c>
      <c r="B19" s="6">
        <v>10.464840000000001</v>
      </c>
      <c r="C19" s="10">
        <v>749</v>
      </c>
      <c r="D19" s="10" t="s">
        <v>19</v>
      </c>
      <c r="E19" s="10" t="s">
        <v>19</v>
      </c>
      <c r="F19" s="10">
        <v>4112</v>
      </c>
      <c r="G19" s="11"/>
      <c r="H19" s="11"/>
      <c r="I19" s="11"/>
    </row>
    <row r="20" spans="1:9" x14ac:dyDescent="0.2">
      <c r="A20" s="8">
        <v>0.58203703703703702</v>
      </c>
      <c r="B20" s="6">
        <v>11</v>
      </c>
      <c r="C20" s="10">
        <v>746</v>
      </c>
      <c r="D20" s="10" t="s">
        <v>19</v>
      </c>
      <c r="E20" s="10" t="s">
        <v>19</v>
      </c>
      <c r="F20" s="10">
        <v>3088</v>
      </c>
      <c r="G20" s="11"/>
      <c r="H20" s="11"/>
      <c r="I20" s="11"/>
    </row>
    <row r="21" spans="1:9" x14ac:dyDescent="0.2">
      <c r="A21" s="8">
        <v>0.58204861111111106</v>
      </c>
      <c r="B21" s="6">
        <v>11.53125</v>
      </c>
      <c r="C21" s="10">
        <v>750</v>
      </c>
      <c r="D21" s="10" t="s">
        <v>19</v>
      </c>
      <c r="E21" s="10" t="s">
        <v>19</v>
      </c>
      <c r="F21" s="10">
        <v>21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10"/>
      <c r="C23" s="10"/>
      <c r="D23" s="10"/>
      <c r="E23" s="10"/>
      <c r="F23" s="10"/>
      <c r="G23" s="11"/>
      <c r="H23" s="11"/>
      <c r="I23" s="11"/>
    </row>
    <row r="24" spans="1:9" x14ac:dyDescent="0.2">
      <c r="A24" s="10"/>
      <c r="C24" s="10"/>
      <c r="D24" s="10"/>
      <c r="E24" s="10"/>
      <c r="F24" s="10"/>
      <c r="G24" s="11"/>
      <c r="H24" s="11"/>
      <c r="I24" s="11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sheetPr codeName="工作表10"/>
  <dimension ref="A1:I27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0.58291666666666664</v>
      </c>
      <c r="B2" s="6">
        <v>1.785156</v>
      </c>
      <c r="C2" s="10">
        <v>764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753.1</v>
      </c>
      <c r="I2" s="11"/>
    </row>
    <row r="3" spans="1:9" x14ac:dyDescent="0.2">
      <c r="A3" s="8">
        <v>0.58292824074074079</v>
      </c>
      <c r="B3" s="6">
        <v>2.2539060000000002</v>
      </c>
      <c r="C3" s="10">
        <v>758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32.613065993891908</v>
      </c>
      <c r="I3" s="11"/>
    </row>
    <row r="4" spans="1:9" x14ac:dyDescent="0.2">
      <c r="A4" s="8">
        <v>0.58292824074074079</v>
      </c>
      <c r="B4" s="6">
        <v>2.7539060000000002</v>
      </c>
      <c r="C4" s="10">
        <v>762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0.58293981481481483</v>
      </c>
      <c r="B5" s="6">
        <v>3.2851560000000002</v>
      </c>
      <c r="C5" s="10">
        <v>759</v>
      </c>
      <c r="D5" s="10" t="s">
        <v>17</v>
      </c>
      <c r="E5" s="9">
        <v>0.61</v>
      </c>
      <c r="F5" s="10" t="s">
        <v>18</v>
      </c>
      <c r="G5" s="11"/>
      <c r="H5" s="11"/>
      <c r="I5" s="11"/>
    </row>
    <row r="6" spans="1:9" x14ac:dyDescent="0.2">
      <c r="A6" s="8">
        <v>0.58293981481481483</v>
      </c>
      <c r="B6" s="6">
        <v>3.8007810000000002</v>
      </c>
      <c r="C6" s="10">
        <v>760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0.58295138888888887</v>
      </c>
      <c r="B7" s="6">
        <v>4.3007809999999997</v>
      </c>
      <c r="C7" s="10">
        <v>759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0.58295138888888887</v>
      </c>
      <c r="B8" s="6">
        <v>4.8007809999999997</v>
      </c>
      <c r="C8" s="10">
        <v>753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0.58296296296296302</v>
      </c>
      <c r="B9" s="6">
        <v>5.3007809999999997</v>
      </c>
      <c r="C9" s="10">
        <v>753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0.58296296296296302</v>
      </c>
      <c r="B10" s="6">
        <v>5.8320309999999997</v>
      </c>
      <c r="C10" s="10">
        <v>751</v>
      </c>
      <c r="D10" s="10" t="s">
        <v>17</v>
      </c>
      <c r="E10" s="9">
        <v>0.61</v>
      </c>
      <c r="F10" s="10" t="s">
        <v>18</v>
      </c>
      <c r="G10" s="11"/>
      <c r="H10" s="11"/>
      <c r="I10" s="11"/>
    </row>
    <row r="11" spans="1:9" x14ac:dyDescent="0.2">
      <c r="A11" s="8">
        <v>0.58297453703703705</v>
      </c>
      <c r="B11" s="6">
        <v>6.3476559999999997</v>
      </c>
      <c r="C11" s="10">
        <v>752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0.58297453703703705</v>
      </c>
      <c r="B12" s="6">
        <v>6.8476559999999997</v>
      </c>
      <c r="C12" s="10">
        <v>750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0.58298611111111109</v>
      </c>
      <c r="B13" s="6">
        <v>7.3476559999999997</v>
      </c>
      <c r="C13" s="10">
        <v>750</v>
      </c>
      <c r="D13" s="10" t="s">
        <v>25</v>
      </c>
      <c r="E13" s="10" t="s">
        <v>25</v>
      </c>
      <c r="F13" s="10" t="s">
        <v>25</v>
      </c>
      <c r="G13" s="11"/>
      <c r="H13" s="11"/>
      <c r="I13" s="11"/>
    </row>
    <row r="14" spans="1:9" x14ac:dyDescent="0.2">
      <c r="A14" s="8">
        <v>0.58298611111111109</v>
      </c>
      <c r="B14" s="6">
        <v>7.8476559999999997</v>
      </c>
      <c r="C14" s="10">
        <v>751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0.58299768518518513</v>
      </c>
      <c r="B15" s="6">
        <v>8.3632810000000006</v>
      </c>
      <c r="C15" s="10">
        <v>748</v>
      </c>
      <c r="D15" s="10" t="s">
        <v>17</v>
      </c>
      <c r="E15" s="9">
        <v>0.61</v>
      </c>
      <c r="F15" s="10" t="s">
        <v>18</v>
      </c>
      <c r="G15" s="11"/>
      <c r="H15" s="11"/>
      <c r="I15" s="11"/>
    </row>
    <row r="16" spans="1:9" x14ac:dyDescent="0.2">
      <c r="A16" s="8">
        <v>0.58299768518518513</v>
      </c>
      <c r="B16" s="6">
        <v>8.8789060000000006</v>
      </c>
      <c r="C16" s="10">
        <v>747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0.58300925925925928</v>
      </c>
      <c r="B17" s="6">
        <v>9.3945310000000006</v>
      </c>
      <c r="C17" s="10">
        <v>749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0.58300925925925928</v>
      </c>
      <c r="B18" s="6">
        <v>9.8828130000000005</v>
      </c>
      <c r="C18" s="10">
        <v>749</v>
      </c>
      <c r="D18" s="10" t="s">
        <v>25</v>
      </c>
      <c r="E18" s="10" t="s">
        <v>25</v>
      </c>
      <c r="F18" s="10" t="s">
        <v>25</v>
      </c>
      <c r="G18" s="11"/>
      <c r="H18" s="11"/>
      <c r="I18" s="11"/>
    </row>
    <row r="19" spans="1:9" x14ac:dyDescent="0.2">
      <c r="A19" s="8">
        <v>0.58302083333333332</v>
      </c>
      <c r="B19" s="6">
        <v>10.382809999999999</v>
      </c>
      <c r="C19" s="10">
        <v>749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0.58302083333333332</v>
      </c>
      <c r="B20" s="6">
        <v>10.914059999999999</v>
      </c>
      <c r="C20" s="10">
        <v>748</v>
      </c>
      <c r="D20" s="10" t="s">
        <v>17</v>
      </c>
      <c r="E20" s="9">
        <v>0.61</v>
      </c>
      <c r="F20" s="10" t="s">
        <v>18</v>
      </c>
      <c r="G20" s="11"/>
      <c r="H20" s="11"/>
      <c r="I20" s="11"/>
    </row>
    <row r="21" spans="1:9" x14ac:dyDescent="0.2">
      <c r="A21" s="8">
        <v>0.58303240740740736</v>
      </c>
      <c r="B21" s="6">
        <v>11.429690000000001</v>
      </c>
      <c r="C21" s="10">
        <v>750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  <row r="22" spans="1:9" x14ac:dyDescent="0.2">
      <c r="A22" s="10"/>
      <c r="C22" s="10"/>
      <c r="D22" s="10"/>
      <c r="E22" s="10"/>
      <c r="F22" s="10"/>
      <c r="G22" s="11"/>
      <c r="H22" s="11"/>
      <c r="I22" s="11"/>
    </row>
    <row r="23" spans="1:9" x14ac:dyDescent="0.2">
      <c r="A23" s="10"/>
      <c r="C23" s="10"/>
      <c r="D23" s="10"/>
      <c r="E23" s="10"/>
      <c r="F23" s="10"/>
      <c r="G23" s="11"/>
      <c r="H23" s="11"/>
      <c r="I23" s="11"/>
    </row>
    <row r="24" spans="1:9" x14ac:dyDescent="0.2">
      <c r="A24" s="10"/>
      <c r="C24" s="10"/>
      <c r="D24" s="10"/>
      <c r="E24" s="10"/>
      <c r="F24" s="10"/>
      <c r="G24" s="11"/>
      <c r="H24" s="11"/>
      <c r="I24" s="11"/>
    </row>
    <row r="25" spans="1:9" x14ac:dyDescent="0.2">
      <c r="A25" s="10"/>
      <c r="C25" s="10"/>
      <c r="D25" s="10"/>
      <c r="E25" s="10"/>
      <c r="F25" s="10"/>
      <c r="G25" s="11"/>
      <c r="H25" s="11"/>
      <c r="I25" s="11"/>
    </row>
    <row r="26" spans="1:9" x14ac:dyDescent="0.2">
      <c r="A26" s="10"/>
      <c r="C26" s="10"/>
      <c r="D26" s="10"/>
      <c r="E26" s="10"/>
      <c r="F26" s="10"/>
      <c r="G26" s="11"/>
      <c r="H26" s="11"/>
      <c r="I26" s="11"/>
    </row>
    <row r="27" spans="1:9" x14ac:dyDescent="0.2">
      <c r="A27" s="10"/>
      <c r="C27" s="10"/>
      <c r="D27" s="10"/>
      <c r="E27" s="10"/>
      <c r="F27" s="10"/>
      <c r="G27" s="11"/>
      <c r="H27" s="11"/>
      <c r="I27" s="11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sheetPr codeName="工作表11"/>
  <dimension ref="A1:I24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0.58406250000000004</v>
      </c>
      <c r="B2" s="6">
        <v>1.785156</v>
      </c>
      <c r="C2" s="10">
        <v>743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738.4</v>
      </c>
      <c r="I2" s="11"/>
    </row>
    <row r="3" spans="1:9" x14ac:dyDescent="0.2">
      <c r="A3" s="8">
        <v>0.58406250000000004</v>
      </c>
      <c r="B3" s="6">
        <v>2.2539060000000002</v>
      </c>
      <c r="C3" s="10">
        <v>745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35.073943661971832</v>
      </c>
      <c r="I3" s="11"/>
    </row>
    <row r="4" spans="1:9" x14ac:dyDescent="0.2">
      <c r="A4" s="8">
        <v>0.58407407407407408</v>
      </c>
      <c r="B4" s="6">
        <v>2.7539060000000002</v>
      </c>
      <c r="C4" s="10">
        <v>743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0.58407407407407408</v>
      </c>
      <c r="B5" s="6">
        <v>3.2851560000000002</v>
      </c>
      <c r="C5" s="10">
        <v>742</v>
      </c>
      <c r="D5" s="10" t="s">
        <v>17</v>
      </c>
      <c r="E5" s="9">
        <v>0.61</v>
      </c>
      <c r="F5" s="10" t="s">
        <v>18</v>
      </c>
      <c r="G5" s="11"/>
      <c r="H5" s="11"/>
      <c r="I5" s="11"/>
    </row>
    <row r="6" spans="1:9" x14ac:dyDescent="0.2">
      <c r="A6" s="8">
        <v>0.58408564814814812</v>
      </c>
      <c r="B6" s="6">
        <v>3.8007810000000002</v>
      </c>
      <c r="C6" s="10">
        <v>743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0.58408564814814812</v>
      </c>
      <c r="B7" s="6">
        <v>4.3007809999999997</v>
      </c>
      <c r="C7" s="10">
        <v>743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0.58409722222222227</v>
      </c>
      <c r="B8" s="6">
        <v>4.8007809999999997</v>
      </c>
      <c r="C8" s="10">
        <v>740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0.58409722222222227</v>
      </c>
      <c r="B9" s="6">
        <v>5.3007809999999997</v>
      </c>
      <c r="C9" s="10">
        <v>737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0.58410879629629631</v>
      </c>
      <c r="B10" s="6">
        <v>5.8320309999999997</v>
      </c>
      <c r="C10" s="10">
        <v>741</v>
      </c>
      <c r="D10" s="10" t="s">
        <v>17</v>
      </c>
      <c r="E10" s="9">
        <v>0.61</v>
      </c>
      <c r="F10" s="10" t="s">
        <v>18</v>
      </c>
      <c r="G10" s="11"/>
      <c r="H10" s="11"/>
      <c r="I10" s="11"/>
    </row>
    <row r="11" spans="1:9" x14ac:dyDescent="0.2">
      <c r="A11" s="8">
        <v>0.58410879629629631</v>
      </c>
      <c r="B11" s="6">
        <v>6.3476559999999997</v>
      </c>
      <c r="C11" s="10">
        <v>740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0.58412037037037035</v>
      </c>
      <c r="B12" s="6">
        <v>6.8476559999999997</v>
      </c>
      <c r="C12" s="10">
        <v>737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0.58412037037037035</v>
      </c>
      <c r="B13" s="6">
        <v>7.3476559999999997</v>
      </c>
      <c r="C13" s="10">
        <v>735</v>
      </c>
      <c r="D13" s="10" t="s">
        <v>25</v>
      </c>
      <c r="E13" s="10" t="s">
        <v>25</v>
      </c>
      <c r="F13" s="10" t="s">
        <v>25</v>
      </c>
      <c r="G13" s="11"/>
      <c r="H13" s="11"/>
      <c r="I13" s="11"/>
    </row>
    <row r="14" spans="1:9" x14ac:dyDescent="0.2">
      <c r="A14" s="8">
        <v>0.5841319444444445</v>
      </c>
      <c r="B14" s="6">
        <v>7.8476559999999997</v>
      </c>
      <c r="C14" s="10">
        <v>736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0.5841319444444445</v>
      </c>
      <c r="B15" s="6">
        <v>8.3632810000000006</v>
      </c>
      <c r="C15" s="10">
        <v>739</v>
      </c>
      <c r="D15" s="10" t="s">
        <v>19</v>
      </c>
      <c r="E15" s="10" t="s">
        <v>19</v>
      </c>
      <c r="F15" s="10">
        <v>21</v>
      </c>
      <c r="G15" s="11"/>
      <c r="H15" s="11"/>
      <c r="I15" s="11"/>
    </row>
    <row r="16" spans="1:9" x14ac:dyDescent="0.2">
      <c r="A16" s="8">
        <v>0.58414351851851853</v>
      </c>
      <c r="B16" s="6">
        <v>8.8945310000000006</v>
      </c>
      <c r="C16" s="10">
        <v>737</v>
      </c>
      <c r="D16" s="10" t="s">
        <v>19</v>
      </c>
      <c r="E16" s="10" t="s">
        <v>19</v>
      </c>
      <c r="F16" s="10">
        <v>4112</v>
      </c>
      <c r="G16" s="11"/>
      <c r="H16" s="11"/>
      <c r="I16" s="11"/>
    </row>
    <row r="17" spans="1:9" x14ac:dyDescent="0.2">
      <c r="A17" s="8">
        <v>0.58414351851851853</v>
      </c>
      <c r="B17" s="6">
        <v>9.4101560000000006</v>
      </c>
      <c r="C17" s="10">
        <v>735</v>
      </c>
      <c r="D17" s="10" t="s">
        <v>19</v>
      </c>
      <c r="E17" s="10" t="s">
        <v>19</v>
      </c>
      <c r="F17" s="10">
        <v>3088</v>
      </c>
      <c r="G17" s="11"/>
      <c r="H17" s="11"/>
      <c r="I17" s="11"/>
    </row>
    <row r="18" spans="1:9" x14ac:dyDescent="0.2">
      <c r="A18" s="8">
        <v>0.58415509259259257</v>
      </c>
      <c r="B18" s="6">
        <v>9.9570310000000006</v>
      </c>
      <c r="C18" s="10">
        <v>736</v>
      </c>
      <c r="D18" s="10" t="s">
        <v>17</v>
      </c>
      <c r="E18" s="9">
        <v>0.61</v>
      </c>
      <c r="F18" s="10" t="s">
        <v>18</v>
      </c>
      <c r="G18" s="11"/>
      <c r="H18" s="11"/>
      <c r="I18" s="11"/>
    </row>
    <row r="19" spans="1:9" x14ac:dyDescent="0.2">
      <c r="A19" s="8">
        <v>0.58415509259259257</v>
      </c>
      <c r="B19" s="6">
        <v>10.472659999999999</v>
      </c>
      <c r="C19" s="10">
        <v>731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0.58416666666666661</v>
      </c>
      <c r="B20" s="6">
        <v>10.972659999999999</v>
      </c>
      <c r="C20" s="10">
        <v>731</v>
      </c>
      <c r="D20" s="10" t="s">
        <v>25</v>
      </c>
      <c r="E20" s="10" t="s">
        <v>25</v>
      </c>
      <c r="F20" s="10" t="s">
        <v>25</v>
      </c>
      <c r="G20" s="11"/>
      <c r="H20" s="11"/>
      <c r="I20" s="11"/>
    </row>
    <row r="21" spans="1:9" x14ac:dyDescent="0.2">
      <c r="A21" s="8">
        <v>0.58416666666666661</v>
      </c>
      <c r="B21" s="6">
        <v>11.472659999999999</v>
      </c>
      <c r="C21" s="10">
        <v>734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8"/>
      <c r="C23" s="10"/>
      <c r="D23" s="10"/>
      <c r="E23" s="9"/>
      <c r="F23" s="10"/>
      <c r="G23" s="11"/>
      <c r="H23" s="11"/>
      <c r="I23" s="11"/>
    </row>
    <row r="24" spans="1:9" x14ac:dyDescent="0.2">
      <c r="A24" s="8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sheetPr codeName="工作表12"/>
  <dimension ref="A1:I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0.58532407407407405</v>
      </c>
      <c r="B2" s="6">
        <v>1.800781</v>
      </c>
      <c r="C2" s="10">
        <v>744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741.35</v>
      </c>
      <c r="I2" s="11"/>
    </row>
    <row r="3" spans="1:9" x14ac:dyDescent="0.2">
      <c r="A3" s="8">
        <v>0.5853356481481482</v>
      </c>
      <c r="B3" s="6">
        <v>2.2695310000000002</v>
      </c>
      <c r="C3" s="10">
        <v>748</v>
      </c>
      <c r="D3" s="10" t="s">
        <v>25</v>
      </c>
      <c r="E3" s="10" t="s">
        <v>25</v>
      </c>
      <c r="F3" s="10" t="s">
        <v>25</v>
      </c>
      <c r="G3" s="11"/>
      <c r="H3" s="11">
        <f>91*(1023-H2)/H2</f>
        <v>34.572266810548321</v>
      </c>
      <c r="I3" s="11"/>
    </row>
    <row r="4" spans="1:9" x14ac:dyDescent="0.2">
      <c r="A4" s="8">
        <v>0.5853356481481482</v>
      </c>
      <c r="B4" s="6">
        <v>2.7734380000000001</v>
      </c>
      <c r="C4" s="10">
        <v>744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0.58534722222222224</v>
      </c>
      <c r="B5" s="6">
        <v>3.3046880000000001</v>
      </c>
      <c r="C5" s="10">
        <v>745</v>
      </c>
      <c r="D5" s="10" t="s">
        <v>17</v>
      </c>
      <c r="E5" s="9">
        <v>0.61</v>
      </c>
      <c r="F5" s="10" t="s">
        <v>18</v>
      </c>
      <c r="G5" s="11"/>
      <c r="H5" s="11"/>
      <c r="I5" s="11"/>
    </row>
    <row r="6" spans="1:9" x14ac:dyDescent="0.2">
      <c r="A6" s="8">
        <v>0.58534722222222224</v>
      </c>
      <c r="B6" s="6">
        <v>3.8203130000000001</v>
      </c>
      <c r="C6" s="10">
        <v>748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0.58535879629629628</v>
      </c>
      <c r="B7" s="6">
        <v>4.3203129999999996</v>
      </c>
      <c r="C7" s="10">
        <v>741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0.58535879629629628</v>
      </c>
      <c r="B8" s="6">
        <v>4.8164059999999997</v>
      </c>
      <c r="C8" s="10">
        <v>744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0.58537037037037032</v>
      </c>
      <c r="B9" s="6">
        <v>5.3164059999999997</v>
      </c>
      <c r="C9" s="10">
        <v>744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0.58537037037037032</v>
      </c>
      <c r="B10" s="6">
        <v>5.8320309999999997</v>
      </c>
      <c r="C10" s="10">
        <v>743</v>
      </c>
      <c r="D10" s="10" t="s">
        <v>17</v>
      </c>
      <c r="E10" s="9">
        <v>0.61</v>
      </c>
      <c r="F10" s="10" t="s">
        <v>18</v>
      </c>
      <c r="G10" s="11"/>
      <c r="H10" s="11"/>
      <c r="I10" s="11"/>
    </row>
    <row r="11" spans="1:9" x14ac:dyDescent="0.2">
      <c r="A11" s="8">
        <v>0.58538194444444447</v>
      </c>
      <c r="B11" s="6">
        <v>6.3476559999999997</v>
      </c>
      <c r="C11" s="10">
        <v>739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0.58538194444444447</v>
      </c>
      <c r="B12" s="6">
        <v>6.8476559999999997</v>
      </c>
      <c r="C12" s="10">
        <v>743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0.58539351851851851</v>
      </c>
      <c r="B13" s="6">
        <v>7.3476559999999997</v>
      </c>
      <c r="C13" s="10">
        <v>742</v>
      </c>
      <c r="D13" s="10" t="s">
        <v>25</v>
      </c>
      <c r="E13" s="10" t="s">
        <v>25</v>
      </c>
      <c r="F13" s="10" t="s">
        <v>25</v>
      </c>
      <c r="G13" s="11"/>
      <c r="H13" s="11"/>
      <c r="I13" s="11"/>
    </row>
    <row r="14" spans="1:9" x14ac:dyDescent="0.2">
      <c r="A14" s="8">
        <v>0.58539351851851851</v>
      </c>
      <c r="B14" s="6">
        <v>7.8476559999999997</v>
      </c>
      <c r="C14" s="10">
        <v>738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0.58540509259259255</v>
      </c>
      <c r="B15" s="6">
        <v>8.3789060000000006</v>
      </c>
      <c r="C15" s="10">
        <v>738</v>
      </c>
      <c r="D15" s="10" t="s">
        <v>17</v>
      </c>
      <c r="E15" s="9">
        <v>0.61</v>
      </c>
      <c r="F15" s="10" t="s">
        <v>18</v>
      </c>
      <c r="G15" s="11"/>
      <c r="H15" s="11"/>
      <c r="I15" s="11"/>
    </row>
    <row r="16" spans="1:9" x14ac:dyDescent="0.2">
      <c r="A16" s="8">
        <v>0.58540509259259255</v>
      </c>
      <c r="B16" s="6">
        <v>8.8984380000000005</v>
      </c>
      <c r="C16" s="10">
        <v>741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0.5854166666666667</v>
      </c>
      <c r="B17" s="6">
        <v>9.4023439999999994</v>
      </c>
      <c r="C17" s="10">
        <v>739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0.5854166666666667</v>
      </c>
      <c r="B18" s="6">
        <v>9.9023439999999994</v>
      </c>
      <c r="C18" s="10">
        <v>739</v>
      </c>
      <c r="D18" s="10" t="s">
        <v>25</v>
      </c>
      <c r="E18" s="10" t="s">
        <v>25</v>
      </c>
      <c r="F18" s="10" t="s">
        <v>25</v>
      </c>
      <c r="G18" s="11"/>
      <c r="H18" s="11"/>
      <c r="I18" s="11"/>
    </row>
    <row r="19" spans="1:9" x14ac:dyDescent="0.2">
      <c r="A19" s="8">
        <v>0.58542824074074074</v>
      </c>
      <c r="B19" s="6">
        <v>10.402340000000001</v>
      </c>
      <c r="C19" s="10">
        <v>736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0.58542824074074074</v>
      </c>
      <c r="B20" s="6">
        <v>10.914059999999999</v>
      </c>
      <c r="C20" s="10">
        <v>736</v>
      </c>
      <c r="D20" s="10" t="s">
        <v>17</v>
      </c>
      <c r="E20" s="9">
        <v>0.61</v>
      </c>
      <c r="F20" s="10" t="s">
        <v>18</v>
      </c>
      <c r="G20" s="11"/>
      <c r="H20" s="11"/>
      <c r="I20" s="11"/>
    </row>
    <row r="21" spans="1:9" x14ac:dyDescent="0.2">
      <c r="A21" s="8">
        <v>0.58543981481481477</v>
      </c>
      <c r="B21" s="6">
        <v>11.433590000000001</v>
      </c>
      <c r="C21" s="10">
        <v>735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EA64D-59E3-46B2-82A1-4AF94531663D}">
  <dimension ref="A1:H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0.60964120370370367</v>
      </c>
      <c r="B2" s="6">
        <v>1.824219</v>
      </c>
      <c r="C2" s="4">
        <v>835</v>
      </c>
      <c r="D2" s="4" t="s">
        <v>25</v>
      </c>
      <c r="E2" s="4" t="s">
        <v>25</v>
      </c>
      <c r="F2" s="4" t="s">
        <v>25</v>
      </c>
      <c r="H2" s="11">
        <f>AVERAGE(C2:C21)</f>
        <v>834.95</v>
      </c>
    </row>
    <row r="3" spans="1:8" x14ac:dyDescent="0.2">
      <c r="A3" s="8">
        <v>0.60965277777777782</v>
      </c>
      <c r="B3" s="6">
        <v>2.2773439999999998</v>
      </c>
      <c r="C3" s="4">
        <v>837</v>
      </c>
      <c r="D3" s="4" t="s">
        <v>25</v>
      </c>
      <c r="E3" s="4" t="s">
        <v>25</v>
      </c>
      <c r="F3" s="4" t="s">
        <v>25</v>
      </c>
      <c r="H3" s="11">
        <f>91*(1023-H2)/H2</f>
        <v>20.495299119707759</v>
      </c>
    </row>
    <row r="4" spans="1:8" x14ac:dyDescent="0.2">
      <c r="A4" s="8">
        <v>0.60965277777777782</v>
      </c>
      <c r="B4" s="6">
        <v>2.7734380000000001</v>
      </c>
      <c r="C4" s="4">
        <v>835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0.60966435185185186</v>
      </c>
      <c r="B5" s="6">
        <v>3.3007810000000002</v>
      </c>
      <c r="C5" s="4">
        <v>835</v>
      </c>
      <c r="D5" s="4" t="s">
        <v>33</v>
      </c>
      <c r="E5" s="9">
        <v>0.63</v>
      </c>
      <c r="F5" s="4" t="s">
        <v>18</v>
      </c>
    </row>
    <row r="6" spans="1:8" x14ac:dyDescent="0.2">
      <c r="A6" s="8">
        <v>0.60966435185185186</v>
      </c>
      <c r="B6" s="6">
        <v>3.8164060000000002</v>
      </c>
      <c r="C6" s="4">
        <v>836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0.6096759259259259</v>
      </c>
      <c r="B7" s="6">
        <v>4.3164059999999997</v>
      </c>
      <c r="C7" s="4">
        <v>836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0.6096759259259259</v>
      </c>
      <c r="B8" s="6">
        <v>4.8125</v>
      </c>
      <c r="C8" s="4">
        <v>833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0.60968750000000005</v>
      </c>
      <c r="B9" s="6">
        <v>5.3125</v>
      </c>
      <c r="C9" s="4">
        <v>835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0.60969907407407409</v>
      </c>
      <c r="B10" s="6">
        <v>6.328125</v>
      </c>
      <c r="C10" s="4">
        <v>836</v>
      </c>
      <c r="D10" s="4" t="s">
        <v>19</v>
      </c>
      <c r="E10" s="4" t="s">
        <v>19</v>
      </c>
      <c r="F10" s="4">
        <v>-237</v>
      </c>
    </row>
    <row r="11" spans="1:8" x14ac:dyDescent="0.2">
      <c r="A11" s="8">
        <v>0.60969907407407409</v>
      </c>
      <c r="B11" s="6">
        <v>6.8632809999999997</v>
      </c>
      <c r="C11" s="4">
        <v>836</v>
      </c>
      <c r="D11" s="4" t="s">
        <v>19</v>
      </c>
      <c r="E11" s="4" t="s">
        <v>19</v>
      </c>
      <c r="F11" s="4">
        <v>4112</v>
      </c>
    </row>
    <row r="12" spans="1:8" x14ac:dyDescent="0.2">
      <c r="A12" s="8">
        <v>0.60971064814814813</v>
      </c>
      <c r="B12" s="6">
        <v>7.890625</v>
      </c>
      <c r="C12" s="4">
        <v>834</v>
      </c>
      <c r="D12" s="4" t="s">
        <v>19</v>
      </c>
      <c r="E12" s="4" t="s">
        <v>19</v>
      </c>
      <c r="F12" s="4">
        <v>-237</v>
      </c>
    </row>
    <row r="13" spans="1:8" x14ac:dyDescent="0.2">
      <c r="A13" s="8">
        <v>0.60972222222222228</v>
      </c>
      <c r="B13" s="6">
        <v>8.421875</v>
      </c>
      <c r="C13" s="4">
        <v>835</v>
      </c>
      <c r="D13" s="4" t="s">
        <v>19</v>
      </c>
      <c r="E13" s="4" t="s">
        <v>19</v>
      </c>
      <c r="F13" s="4">
        <v>3088</v>
      </c>
    </row>
    <row r="14" spans="1:8" x14ac:dyDescent="0.2">
      <c r="A14" s="8">
        <v>0.60972222222222228</v>
      </c>
      <c r="B14" s="6">
        <v>8.953125</v>
      </c>
      <c r="C14" s="4">
        <v>836</v>
      </c>
      <c r="D14" s="4" t="s">
        <v>33</v>
      </c>
      <c r="E14" s="9">
        <v>0.63</v>
      </c>
      <c r="F14" s="4" t="s">
        <v>18</v>
      </c>
    </row>
    <row r="15" spans="1:8" x14ac:dyDescent="0.2">
      <c r="A15" s="8">
        <v>0.60973379629629632</v>
      </c>
      <c r="B15" s="6">
        <v>9.484375</v>
      </c>
      <c r="C15" s="4">
        <v>835</v>
      </c>
      <c r="D15" s="4" t="s">
        <v>25</v>
      </c>
      <c r="E15" s="4" t="s">
        <v>25</v>
      </c>
      <c r="F15" s="4" t="s">
        <v>25</v>
      </c>
    </row>
    <row r="16" spans="1:8" x14ac:dyDescent="0.2">
      <c r="A16" s="8">
        <v>0.60973379629629632</v>
      </c>
      <c r="B16" s="6">
        <v>9.984375</v>
      </c>
      <c r="C16" s="4">
        <v>835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0.60974537037037035</v>
      </c>
      <c r="B17" s="6">
        <v>10.48438</v>
      </c>
      <c r="C17" s="4">
        <v>835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0.60974537037037035</v>
      </c>
      <c r="B18" s="6">
        <v>10.98438</v>
      </c>
      <c r="C18" s="4">
        <v>835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0.60975694444444439</v>
      </c>
      <c r="B19" s="6">
        <v>11.5</v>
      </c>
      <c r="C19" s="4">
        <v>834</v>
      </c>
      <c r="D19" s="4" t="s">
        <v>33</v>
      </c>
      <c r="E19" s="9">
        <v>0.64</v>
      </c>
      <c r="F19" s="4" t="s">
        <v>18</v>
      </c>
    </row>
    <row r="20" spans="1:6" x14ac:dyDescent="0.2">
      <c r="A20" s="8">
        <v>0.60975694444444439</v>
      </c>
      <c r="B20" s="6">
        <v>12.01563</v>
      </c>
      <c r="C20" s="4">
        <v>833</v>
      </c>
      <c r="D20" s="4" t="s">
        <v>25</v>
      </c>
      <c r="E20" s="4" t="s">
        <v>25</v>
      </c>
      <c r="F20" s="4" t="s">
        <v>25</v>
      </c>
    </row>
    <row r="21" spans="1:6" x14ac:dyDescent="0.2">
      <c r="A21" s="8">
        <v>0.60976851851851854</v>
      </c>
      <c r="B21" s="6">
        <v>12.51563</v>
      </c>
      <c r="C21" s="4">
        <v>833</v>
      </c>
      <c r="D21" s="4" t="s">
        <v>25</v>
      </c>
      <c r="E21" s="4" t="s">
        <v>25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061A-7750-47D9-92AE-B66D94E34B7F}">
  <dimension ref="A1:H22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0.61091435185185183</v>
      </c>
      <c r="B2" s="6">
        <v>1.7890630000000001</v>
      </c>
      <c r="C2" s="4">
        <v>811</v>
      </c>
      <c r="D2" s="4" t="s">
        <v>25</v>
      </c>
      <c r="E2" s="4" t="s">
        <v>25</v>
      </c>
      <c r="F2" s="4" t="s">
        <v>25</v>
      </c>
      <c r="H2" s="11">
        <f>AVERAGE(C2:C21)</f>
        <v>806.35</v>
      </c>
    </row>
    <row r="3" spans="1:8" x14ac:dyDescent="0.2">
      <c r="A3" s="8">
        <v>0.61091435185185183</v>
      </c>
      <c r="B3" s="6">
        <v>2.2578130000000001</v>
      </c>
      <c r="C3" s="4">
        <v>809</v>
      </c>
      <c r="D3" s="4" t="s">
        <v>25</v>
      </c>
      <c r="E3" s="4" t="s">
        <v>25</v>
      </c>
      <c r="F3" s="4" t="s">
        <v>25</v>
      </c>
      <c r="H3" s="11">
        <f>91*(1023-H2)/H2</f>
        <v>24.449866683202082</v>
      </c>
    </row>
    <row r="4" spans="1:8" x14ac:dyDescent="0.2">
      <c r="A4" s="8">
        <v>0.61092592592592587</v>
      </c>
      <c r="B4" s="6">
        <v>2.7578130000000001</v>
      </c>
      <c r="C4" s="4">
        <v>808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0.61092592592592587</v>
      </c>
      <c r="B5" s="6">
        <v>3.2890630000000001</v>
      </c>
      <c r="C5" s="4">
        <v>807</v>
      </c>
      <c r="D5" s="4" t="s">
        <v>33</v>
      </c>
      <c r="E5" s="9">
        <v>0.63</v>
      </c>
      <c r="F5" s="4" t="s">
        <v>18</v>
      </c>
    </row>
    <row r="6" spans="1:8" x14ac:dyDescent="0.2">
      <c r="A6" s="8">
        <v>0.61093750000000002</v>
      </c>
      <c r="B6" s="6">
        <v>3.8046880000000001</v>
      </c>
      <c r="C6" s="4">
        <v>806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0.61093750000000002</v>
      </c>
      <c r="B7" s="6">
        <v>4.3046879999999996</v>
      </c>
      <c r="C7" s="4">
        <v>806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0.61094907407407406</v>
      </c>
      <c r="B8" s="6">
        <v>4.8046879999999996</v>
      </c>
      <c r="C8" s="4">
        <v>806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0.61094907407407406</v>
      </c>
      <c r="B9" s="6">
        <v>5.3046879999999996</v>
      </c>
      <c r="C9" s="4">
        <v>807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0.6109606481481481</v>
      </c>
      <c r="B10" s="6">
        <v>5.8359379999999996</v>
      </c>
      <c r="C10" s="4">
        <v>805</v>
      </c>
      <c r="D10" s="4" t="s">
        <v>33</v>
      </c>
      <c r="E10" s="9">
        <v>0.63</v>
      </c>
      <c r="F10" s="4" t="s">
        <v>18</v>
      </c>
    </row>
    <row r="11" spans="1:8" x14ac:dyDescent="0.2">
      <c r="A11" s="8">
        <v>0.6109606481481481</v>
      </c>
      <c r="B11" s="6">
        <v>6.3515629999999996</v>
      </c>
      <c r="C11" s="4">
        <v>806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0.61097222222222225</v>
      </c>
      <c r="B12" s="6">
        <v>6.8515629999999996</v>
      </c>
      <c r="C12" s="4">
        <v>804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0.61097222222222225</v>
      </c>
      <c r="B13" s="6">
        <v>7.3515629999999996</v>
      </c>
      <c r="C13" s="4">
        <v>806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0.61098379629629629</v>
      </c>
      <c r="B14" s="6">
        <v>7.8515629999999996</v>
      </c>
      <c r="C14" s="4">
        <v>806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0.61098379629629629</v>
      </c>
      <c r="B15" s="6">
        <v>8.3828130000000005</v>
      </c>
      <c r="C15" s="4">
        <v>805</v>
      </c>
      <c r="D15" s="4" t="s">
        <v>33</v>
      </c>
      <c r="E15" s="9">
        <v>0.63</v>
      </c>
      <c r="F15" s="4" t="s">
        <v>18</v>
      </c>
    </row>
    <row r="16" spans="1:8" x14ac:dyDescent="0.2">
      <c r="A16" s="8">
        <v>0.61099537037037033</v>
      </c>
      <c r="B16" s="6">
        <v>8.8984380000000005</v>
      </c>
      <c r="C16" s="4">
        <v>805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0.61099537037037033</v>
      </c>
      <c r="B17" s="6">
        <v>9.3984380000000005</v>
      </c>
      <c r="C17" s="4">
        <v>806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0.61100694444444448</v>
      </c>
      <c r="B18" s="6">
        <v>9.8984380000000005</v>
      </c>
      <c r="C18" s="4">
        <v>808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0.61100694444444448</v>
      </c>
      <c r="B19" s="6">
        <v>10.398440000000001</v>
      </c>
      <c r="C19" s="4">
        <v>805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0.61101851851851852</v>
      </c>
      <c r="B20" s="6">
        <v>10.910159999999999</v>
      </c>
      <c r="C20" s="4">
        <v>806</v>
      </c>
      <c r="D20" s="4" t="s">
        <v>33</v>
      </c>
      <c r="E20" s="9">
        <v>0.63</v>
      </c>
      <c r="F20" s="4" t="s">
        <v>18</v>
      </c>
    </row>
    <row r="21" spans="1:6" x14ac:dyDescent="0.2">
      <c r="A21" s="8">
        <v>0.61101851851851852</v>
      </c>
      <c r="B21" s="6">
        <v>11.441409999999999</v>
      </c>
      <c r="C21" s="4">
        <v>805</v>
      </c>
      <c r="D21" s="4" t="s">
        <v>25</v>
      </c>
      <c r="E21" s="4" t="s">
        <v>25</v>
      </c>
      <c r="F21" s="4" t="s">
        <v>25</v>
      </c>
    </row>
    <row r="22" spans="1:6" x14ac:dyDescent="0.2">
      <c r="A22" s="8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02C3-8E7C-44DE-B638-1A0E2E4085C0}">
  <dimension ref="A1:H28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0.61262731481481481</v>
      </c>
      <c r="B2" s="6">
        <v>1.792969</v>
      </c>
      <c r="C2" s="4">
        <v>808</v>
      </c>
      <c r="D2" s="4" t="s">
        <v>25</v>
      </c>
      <c r="E2" s="4" t="s">
        <v>25</v>
      </c>
      <c r="F2" s="4" t="s">
        <v>25</v>
      </c>
      <c r="H2" s="11">
        <f>AVERAGE(C2:C21)</f>
        <v>810.8</v>
      </c>
    </row>
    <row r="3" spans="1:8" x14ac:dyDescent="0.2">
      <c r="A3" s="8">
        <v>0.61262731481481481</v>
      </c>
      <c r="B3" s="6">
        <v>2.2617189999999998</v>
      </c>
      <c r="C3" s="4">
        <v>811</v>
      </c>
      <c r="D3" s="4" t="s">
        <v>25</v>
      </c>
      <c r="E3" s="4" t="s">
        <v>25</v>
      </c>
      <c r="F3" s="4" t="s">
        <v>25</v>
      </c>
      <c r="H3" s="11">
        <f>91*(1023-H2)/H2</f>
        <v>23.816230883078447</v>
      </c>
    </row>
    <row r="4" spans="1:8" x14ac:dyDescent="0.2">
      <c r="A4" s="8">
        <v>0.61263888888888884</v>
      </c>
      <c r="B4" s="6">
        <v>2.7617189999999998</v>
      </c>
      <c r="C4" s="4">
        <v>811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0.61263888888888884</v>
      </c>
      <c r="B5" s="6">
        <v>3.2929689999999998</v>
      </c>
      <c r="C5" s="4">
        <v>812</v>
      </c>
      <c r="D5" s="4" t="s">
        <v>33</v>
      </c>
      <c r="E5" s="9">
        <v>0.62</v>
      </c>
      <c r="F5" s="4" t="s">
        <v>18</v>
      </c>
    </row>
    <row r="6" spans="1:8" x14ac:dyDescent="0.2">
      <c r="A6" s="8">
        <v>0.61265046296296299</v>
      </c>
      <c r="B6" s="6">
        <v>3.8085939999999998</v>
      </c>
      <c r="C6" s="4">
        <v>812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0.61265046296296299</v>
      </c>
      <c r="B7" s="6">
        <v>4.3085940000000003</v>
      </c>
      <c r="C7" s="4">
        <v>812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0.61266203703703703</v>
      </c>
      <c r="B8" s="6">
        <v>4.8085940000000003</v>
      </c>
      <c r="C8" s="4">
        <v>810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0.61266203703703703</v>
      </c>
      <c r="B9" s="6">
        <v>5.3085940000000003</v>
      </c>
      <c r="C9" s="4">
        <v>811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0.61267361111111107</v>
      </c>
      <c r="B10" s="6">
        <v>5.8242190000000003</v>
      </c>
      <c r="C10" s="4">
        <v>810</v>
      </c>
      <c r="D10" s="4" t="s">
        <v>33</v>
      </c>
      <c r="E10" s="9">
        <v>0.62</v>
      </c>
      <c r="F10" s="4" t="s">
        <v>18</v>
      </c>
    </row>
    <row r="11" spans="1:8" x14ac:dyDescent="0.2">
      <c r="A11" s="8">
        <v>0.61267361111111107</v>
      </c>
      <c r="B11" s="6">
        <v>6.34375</v>
      </c>
      <c r="C11" s="4">
        <v>810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0.61268518518518522</v>
      </c>
      <c r="B12" s="6">
        <v>6.8398440000000003</v>
      </c>
      <c r="C12" s="4">
        <v>810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0.61268518518518522</v>
      </c>
      <c r="B13" s="6">
        <v>7.3398440000000003</v>
      </c>
      <c r="C13" s="4">
        <v>810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0.61269675925925926</v>
      </c>
      <c r="B14" s="6">
        <v>7.8554690000000003</v>
      </c>
      <c r="C14" s="4">
        <v>811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0.61269675925925926</v>
      </c>
      <c r="B15" s="6">
        <v>8.3710939999999994</v>
      </c>
      <c r="C15" s="4">
        <v>810</v>
      </c>
      <c r="D15" s="4" t="s">
        <v>33</v>
      </c>
      <c r="E15" s="9">
        <v>0.62</v>
      </c>
      <c r="F15" s="4" t="s">
        <v>18</v>
      </c>
    </row>
    <row r="16" spans="1:8" x14ac:dyDescent="0.2">
      <c r="A16" s="8">
        <v>0.6127083333333333</v>
      </c>
      <c r="B16" s="6">
        <v>8.8867189999999994</v>
      </c>
      <c r="C16" s="4">
        <v>812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0.6127083333333333</v>
      </c>
      <c r="B17" s="6">
        <v>9.3867189999999994</v>
      </c>
      <c r="C17" s="4">
        <v>811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0.61271990740740745</v>
      </c>
      <c r="B18" s="6">
        <v>9.8867189999999994</v>
      </c>
      <c r="C18" s="4">
        <v>810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0.61271990740740745</v>
      </c>
      <c r="B19" s="6">
        <v>10.38672</v>
      </c>
      <c r="C19" s="4">
        <v>810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0.61273148148148149</v>
      </c>
      <c r="B20" s="6">
        <v>10.91797</v>
      </c>
      <c r="C20" s="4">
        <v>812</v>
      </c>
      <c r="D20" s="4" t="s">
        <v>33</v>
      </c>
      <c r="E20" s="9">
        <v>0.62</v>
      </c>
      <c r="F20" s="4" t="s">
        <v>18</v>
      </c>
    </row>
    <row r="21" spans="1:6" x14ac:dyDescent="0.2">
      <c r="A21" s="8">
        <v>0.61273148148148149</v>
      </c>
      <c r="B21" s="6">
        <v>11.433590000000001</v>
      </c>
      <c r="C21" s="4">
        <v>813</v>
      </c>
      <c r="D21" s="4" t="s">
        <v>25</v>
      </c>
      <c r="E21" s="4" t="s">
        <v>25</v>
      </c>
      <c r="F21" s="4" t="s">
        <v>25</v>
      </c>
    </row>
    <row r="22" spans="1:6" x14ac:dyDescent="0.2">
      <c r="A22" s="8"/>
    </row>
    <row r="23" spans="1:6" x14ac:dyDescent="0.2">
      <c r="A23" s="8"/>
    </row>
    <row r="24" spans="1:6" x14ac:dyDescent="0.2">
      <c r="A24" s="8"/>
    </row>
    <row r="25" spans="1:6" x14ac:dyDescent="0.2">
      <c r="A25" s="8"/>
      <c r="E25" s="9"/>
    </row>
    <row r="26" spans="1:6" x14ac:dyDescent="0.2">
      <c r="A26" s="8"/>
    </row>
    <row r="27" spans="1:6" x14ac:dyDescent="0.2">
      <c r="A27" s="8"/>
    </row>
    <row r="28" spans="1:6" x14ac:dyDescent="0.2">
      <c r="A28" s="8"/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230E2-B5E1-4C04-85C5-F4BD892F25A3}">
  <dimension ref="A1:H22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0.61425925925925928</v>
      </c>
      <c r="B2" s="6">
        <v>1.792969</v>
      </c>
      <c r="C2" s="4">
        <v>797</v>
      </c>
      <c r="D2" s="4" t="s">
        <v>25</v>
      </c>
      <c r="E2" s="4" t="s">
        <v>25</v>
      </c>
      <c r="F2" s="4" t="s">
        <v>25</v>
      </c>
      <c r="H2" s="11">
        <f>AVERAGE(C2:C21)</f>
        <v>793.05</v>
      </c>
    </row>
    <row r="3" spans="1:8" x14ac:dyDescent="0.2">
      <c r="A3" s="8">
        <v>0.61425925925925928</v>
      </c>
      <c r="B3" s="6">
        <v>2.2617189999999998</v>
      </c>
      <c r="C3" s="4">
        <v>797</v>
      </c>
      <c r="D3" s="4" t="s">
        <v>25</v>
      </c>
      <c r="E3" s="4" t="s">
        <v>25</v>
      </c>
      <c r="F3" s="4" t="s">
        <v>25</v>
      </c>
      <c r="H3" s="11">
        <f>91*(1023-H2)/H2</f>
        <v>26.38604123321355</v>
      </c>
    </row>
    <row r="4" spans="1:8" x14ac:dyDescent="0.2">
      <c r="A4" s="8">
        <v>0.61427083333333332</v>
      </c>
      <c r="B4" s="6">
        <v>2.7617189999999998</v>
      </c>
      <c r="C4" s="4">
        <v>794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0.61427083333333332</v>
      </c>
      <c r="B5" s="6">
        <v>3.2929689999999998</v>
      </c>
      <c r="C5" s="4">
        <v>794</v>
      </c>
      <c r="D5" s="4" t="s">
        <v>33</v>
      </c>
      <c r="E5" s="9">
        <v>0.62</v>
      </c>
      <c r="F5" s="4" t="s">
        <v>18</v>
      </c>
    </row>
    <row r="6" spans="1:8" x14ac:dyDescent="0.2">
      <c r="A6" s="8">
        <v>0.61428240740740736</v>
      </c>
      <c r="B6" s="6">
        <v>3.8085939999999998</v>
      </c>
      <c r="C6" s="4">
        <v>793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0.61428240740740736</v>
      </c>
      <c r="B7" s="6">
        <v>4.3085940000000003</v>
      </c>
      <c r="C7" s="4">
        <v>792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0.61429398148148151</v>
      </c>
      <c r="B8" s="6">
        <v>4.8085940000000003</v>
      </c>
      <c r="C8" s="4">
        <v>792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0.61429398148148151</v>
      </c>
      <c r="B9" s="6">
        <v>5.3085940000000003</v>
      </c>
      <c r="C9" s="4">
        <v>793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0.61430555555555555</v>
      </c>
      <c r="B10" s="6">
        <v>5.8398440000000003</v>
      </c>
      <c r="C10" s="4">
        <v>794</v>
      </c>
      <c r="D10" s="4" t="s">
        <v>33</v>
      </c>
      <c r="E10" s="9">
        <v>0.62</v>
      </c>
      <c r="F10" s="4" t="s">
        <v>18</v>
      </c>
    </row>
    <row r="11" spans="1:8" x14ac:dyDescent="0.2">
      <c r="A11" s="8">
        <v>0.61430555555555555</v>
      </c>
      <c r="B11" s="6">
        <v>6.3554690000000003</v>
      </c>
      <c r="C11" s="4">
        <v>791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0.61431712962962959</v>
      </c>
      <c r="B12" s="6">
        <v>6.8554690000000003</v>
      </c>
      <c r="C12" s="4">
        <v>792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0.61431712962962959</v>
      </c>
      <c r="B13" s="6">
        <v>7.3554690000000003</v>
      </c>
      <c r="C13" s="4">
        <v>792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0.61432870370370374</v>
      </c>
      <c r="B14" s="6">
        <v>7.8554690000000003</v>
      </c>
      <c r="C14" s="4">
        <v>791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0.61432870370370374</v>
      </c>
      <c r="B15" s="6">
        <v>8.3710939999999994</v>
      </c>
      <c r="C15" s="4">
        <v>792</v>
      </c>
      <c r="D15" s="4" t="s">
        <v>33</v>
      </c>
      <c r="E15" s="9">
        <v>0.62</v>
      </c>
      <c r="F15" s="4" t="s">
        <v>18</v>
      </c>
    </row>
    <row r="16" spans="1:8" x14ac:dyDescent="0.2">
      <c r="A16" s="8">
        <v>0.61434027777777778</v>
      </c>
      <c r="B16" s="6">
        <v>8.8867189999999994</v>
      </c>
      <c r="C16" s="4">
        <v>793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0.61434027777777778</v>
      </c>
      <c r="B17" s="6">
        <v>9.3867189999999994</v>
      </c>
      <c r="C17" s="4">
        <v>792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0.61435185185185182</v>
      </c>
      <c r="B18" s="6">
        <v>9.8867189999999994</v>
      </c>
      <c r="C18" s="4">
        <v>793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0.61435185185185182</v>
      </c>
      <c r="B19" s="6">
        <v>10.38672</v>
      </c>
      <c r="C19" s="4">
        <v>793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0.61436342592592597</v>
      </c>
      <c r="B20" s="6">
        <v>10.91797</v>
      </c>
      <c r="C20" s="4">
        <v>793</v>
      </c>
      <c r="D20" s="4" t="s">
        <v>19</v>
      </c>
      <c r="E20" s="4" t="s">
        <v>19</v>
      </c>
      <c r="F20" s="4">
        <v>21</v>
      </c>
    </row>
    <row r="21" spans="1:6" x14ac:dyDescent="0.2">
      <c r="A21" s="8">
        <v>0.61436342592592597</v>
      </c>
      <c r="B21" s="6">
        <v>11.445309999999999</v>
      </c>
      <c r="C21" s="4">
        <v>793</v>
      </c>
      <c r="D21" s="4" t="s">
        <v>19</v>
      </c>
      <c r="E21" s="4" t="s">
        <v>19</v>
      </c>
      <c r="F21" s="4">
        <v>3088</v>
      </c>
    </row>
    <row r="22" spans="1:6" x14ac:dyDescent="0.2">
      <c r="A22" s="8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4825F-599B-4102-880F-50E69D3E66F3}">
  <dimension ref="A1:H23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0.61581018518518515</v>
      </c>
      <c r="B2" s="6">
        <v>1.800781</v>
      </c>
      <c r="C2" s="4">
        <v>770</v>
      </c>
      <c r="D2" s="4" t="s">
        <v>25</v>
      </c>
      <c r="E2" s="4" t="s">
        <v>25</v>
      </c>
      <c r="F2" s="4" t="s">
        <v>25</v>
      </c>
      <c r="H2" s="11">
        <f>AVERAGE(C2:C21)</f>
        <v>771.2</v>
      </c>
    </row>
    <row r="3" spans="1:8" x14ac:dyDescent="0.2">
      <c r="A3" s="8">
        <v>0.6158217592592593</v>
      </c>
      <c r="B3" s="6">
        <v>2.2695310000000002</v>
      </c>
      <c r="C3" s="4">
        <v>771</v>
      </c>
      <c r="D3" s="4" t="s">
        <v>25</v>
      </c>
      <c r="E3" s="4" t="s">
        <v>25</v>
      </c>
      <c r="F3" s="4" t="s">
        <v>25</v>
      </c>
      <c r="H3" s="11">
        <f>91*(1023-H2)/H2</f>
        <v>29.711877593360988</v>
      </c>
    </row>
    <row r="4" spans="1:8" x14ac:dyDescent="0.2">
      <c r="A4" s="8">
        <v>0.6158217592592593</v>
      </c>
      <c r="B4" s="6">
        <v>2.7695310000000002</v>
      </c>
      <c r="C4" s="4">
        <v>769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0.61583333333333334</v>
      </c>
      <c r="B5" s="6">
        <v>3.2890630000000001</v>
      </c>
      <c r="C5" s="4">
        <v>768</v>
      </c>
      <c r="D5" s="4" t="s">
        <v>33</v>
      </c>
      <c r="E5" s="9">
        <v>0.6</v>
      </c>
      <c r="F5" s="4" t="s">
        <v>18</v>
      </c>
    </row>
    <row r="6" spans="1:8" x14ac:dyDescent="0.2">
      <c r="A6" s="8">
        <v>0.61583333333333334</v>
      </c>
      <c r="B6" s="6">
        <v>3.8085939999999998</v>
      </c>
      <c r="C6" s="4">
        <v>769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0.61584490740740738</v>
      </c>
      <c r="B7" s="6">
        <v>4.3085940000000003</v>
      </c>
      <c r="C7" s="4">
        <v>769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0.61584490740740738</v>
      </c>
      <c r="B8" s="6">
        <v>4.8125</v>
      </c>
      <c r="C8" s="4">
        <v>769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0.61585648148148153</v>
      </c>
      <c r="B9" s="6">
        <v>5.3125</v>
      </c>
      <c r="C9" s="4">
        <v>772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0.61585648148148153</v>
      </c>
      <c r="B10" s="6">
        <v>5.8398440000000003</v>
      </c>
      <c r="C10" s="4">
        <v>769</v>
      </c>
      <c r="D10" s="4" t="s">
        <v>33</v>
      </c>
      <c r="E10" s="9">
        <v>0.6</v>
      </c>
      <c r="F10" s="4" t="s">
        <v>18</v>
      </c>
    </row>
    <row r="11" spans="1:8" x14ac:dyDescent="0.2">
      <c r="A11" s="8">
        <v>0.61586805555555557</v>
      </c>
      <c r="B11" s="6">
        <v>6.3554690000000003</v>
      </c>
      <c r="C11" s="4">
        <v>770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0.61586805555555557</v>
      </c>
      <c r="B12" s="6">
        <v>6.8515629999999996</v>
      </c>
      <c r="C12" s="4">
        <v>771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0.61587962962962961</v>
      </c>
      <c r="B13" s="6">
        <v>7.3554690000000003</v>
      </c>
      <c r="C13" s="4">
        <v>774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0.61587962962962961</v>
      </c>
      <c r="B14" s="6">
        <v>7.859375</v>
      </c>
      <c r="C14" s="4">
        <v>770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0.61589120370370365</v>
      </c>
      <c r="B15" s="6">
        <v>8.3789060000000006</v>
      </c>
      <c r="C15" s="4">
        <v>770</v>
      </c>
      <c r="D15" s="4" t="s">
        <v>33</v>
      </c>
      <c r="E15" s="9">
        <v>0.6</v>
      </c>
      <c r="F15" s="4" t="s">
        <v>18</v>
      </c>
    </row>
    <row r="16" spans="1:8" x14ac:dyDescent="0.2">
      <c r="A16" s="8">
        <v>0.61589120370370365</v>
      </c>
      <c r="B16" s="6">
        <v>8.8945310000000006</v>
      </c>
      <c r="C16" s="4">
        <v>772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0.6159027777777778</v>
      </c>
      <c r="B17" s="6">
        <v>9.3984380000000005</v>
      </c>
      <c r="C17" s="4">
        <v>774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0.6159027777777778</v>
      </c>
      <c r="B18" s="6">
        <v>9.8945310000000006</v>
      </c>
      <c r="C18" s="4">
        <v>775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0.61591435185185184</v>
      </c>
      <c r="B19" s="6">
        <v>10.402340000000001</v>
      </c>
      <c r="C19" s="4">
        <v>773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0.61591435185185184</v>
      </c>
      <c r="B20" s="6">
        <v>10.92578</v>
      </c>
      <c r="C20" s="4">
        <v>775</v>
      </c>
      <c r="D20" s="4" t="s">
        <v>33</v>
      </c>
      <c r="E20" s="9">
        <v>0.6</v>
      </c>
      <c r="F20" s="4" t="s">
        <v>18</v>
      </c>
    </row>
    <row r="21" spans="1:6" x14ac:dyDescent="0.2">
      <c r="A21" s="8">
        <v>0.61592592592592588</v>
      </c>
      <c r="B21" s="6">
        <v>11.4375</v>
      </c>
      <c r="C21" s="4">
        <v>774</v>
      </c>
      <c r="D21" s="4" t="s">
        <v>25</v>
      </c>
      <c r="E21" s="4" t="s">
        <v>25</v>
      </c>
      <c r="F21" s="4" t="s">
        <v>25</v>
      </c>
    </row>
    <row r="22" spans="1:6" x14ac:dyDescent="0.2">
      <c r="A22" s="8"/>
    </row>
    <row r="23" spans="1:6" x14ac:dyDescent="0.2">
      <c r="A23" s="8"/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89FF3-07A8-4DD0-83DA-AE08D2B19E10}">
  <dimension ref="A1:H21"/>
  <sheetViews>
    <sheetView tabSelected="1"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0.61704861111111109</v>
      </c>
      <c r="B2" s="6">
        <v>1.792969</v>
      </c>
      <c r="C2" s="4">
        <v>787</v>
      </c>
      <c r="D2" s="4" t="s">
        <v>25</v>
      </c>
      <c r="E2" s="4" t="s">
        <v>25</v>
      </c>
      <c r="F2" s="4" t="s">
        <v>25</v>
      </c>
      <c r="H2" s="11">
        <f>AVERAGE(C2:C21)</f>
        <v>781.1</v>
      </c>
    </row>
    <row r="3" spans="1:8" x14ac:dyDescent="0.2">
      <c r="A3" s="8">
        <v>0.61704861111111109</v>
      </c>
      <c r="B3" s="6">
        <v>2.2617189999999998</v>
      </c>
      <c r="C3" s="4">
        <v>784</v>
      </c>
      <c r="D3" s="4" t="s">
        <v>25</v>
      </c>
      <c r="E3" s="4" t="s">
        <v>25</v>
      </c>
      <c r="F3" s="4" t="s">
        <v>25</v>
      </c>
      <c r="H3" s="11">
        <f>91*(1023-H2)/H2</f>
        <v>28.181922929202404</v>
      </c>
    </row>
    <row r="4" spans="1:8" x14ac:dyDescent="0.2">
      <c r="A4" s="8">
        <v>0.61706018518518524</v>
      </c>
      <c r="B4" s="6">
        <v>2.7617189999999998</v>
      </c>
      <c r="C4" s="4">
        <v>782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0.61706018518518524</v>
      </c>
      <c r="B5" s="6">
        <v>3.2890630000000001</v>
      </c>
      <c r="C5" s="4">
        <v>784</v>
      </c>
      <c r="D5" s="4" t="s">
        <v>33</v>
      </c>
      <c r="E5" s="9">
        <v>0.6</v>
      </c>
      <c r="F5" s="4" t="s">
        <v>18</v>
      </c>
    </row>
    <row r="6" spans="1:8" x14ac:dyDescent="0.2">
      <c r="A6" s="8">
        <v>0.61707175925925928</v>
      </c>
      <c r="B6" s="6">
        <v>3.8046880000000001</v>
      </c>
      <c r="C6" s="4">
        <v>783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0.61707175925925928</v>
      </c>
      <c r="B7" s="6">
        <v>4.3046879999999996</v>
      </c>
      <c r="C7" s="4">
        <v>783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0.61708333333333332</v>
      </c>
      <c r="B8" s="6">
        <v>4.8046879999999996</v>
      </c>
      <c r="C8" s="4">
        <v>779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0.61708333333333332</v>
      </c>
      <c r="B9" s="6">
        <v>5.3085940000000003</v>
      </c>
      <c r="C9" s="4">
        <v>781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0.61709490740740736</v>
      </c>
      <c r="B10" s="6">
        <v>5.828125</v>
      </c>
      <c r="C10" s="4">
        <v>779</v>
      </c>
      <c r="D10" s="4" t="s">
        <v>33</v>
      </c>
      <c r="E10" s="9">
        <v>0.6</v>
      </c>
      <c r="F10" s="4" t="s">
        <v>18</v>
      </c>
    </row>
    <row r="11" spans="1:8" x14ac:dyDescent="0.2">
      <c r="A11" s="8">
        <v>0.61710648148148151</v>
      </c>
      <c r="B11" s="6">
        <v>6.3476559999999997</v>
      </c>
      <c r="C11" s="4">
        <v>783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0.61710648148148151</v>
      </c>
      <c r="B12" s="6">
        <v>6.84375</v>
      </c>
      <c r="C12" s="4">
        <v>782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0.61711805555555554</v>
      </c>
      <c r="B13" s="6">
        <v>7.3515629999999996</v>
      </c>
      <c r="C13" s="4">
        <v>782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0.61711805555555554</v>
      </c>
      <c r="B14" s="6">
        <v>7.8476559999999997</v>
      </c>
      <c r="C14" s="4">
        <v>782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0.61712962962962958</v>
      </c>
      <c r="B15" s="6">
        <v>8.375</v>
      </c>
      <c r="C15" s="4">
        <v>779</v>
      </c>
      <c r="D15" s="4" t="s">
        <v>33</v>
      </c>
      <c r="E15" s="9">
        <v>0.6</v>
      </c>
      <c r="F15" s="4" t="s">
        <v>18</v>
      </c>
    </row>
    <row r="16" spans="1:8" x14ac:dyDescent="0.2">
      <c r="A16" s="8">
        <v>0.61712962962962958</v>
      </c>
      <c r="B16" s="6">
        <v>8.890625</v>
      </c>
      <c r="C16" s="4">
        <v>781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0.61714120370370373</v>
      </c>
      <c r="B17" s="6">
        <v>9.390625</v>
      </c>
      <c r="C17" s="4">
        <v>780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0.61714120370370373</v>
      </c>
      <c r="B18" s="6">
        <v>9.8828130000000005</v>
      </c>
      <c r="C18" s="4">
        <v>779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0.61715277777777777</v>
      </c>
      <c r="B19" s="6">
        <v>10.39063</v>
      </c>
      <c r="C19" s="4">
        <v>777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0.61715277777777777</v>
      </c>
      <c r="B20" s="6">
        <v>10.90625</v>
      </c>
      <c r="C20" s="4">
        <v>778</v>
      </c>
      <c r="D20" s="4" t="s">
        <v>33</v>
      </c>
      <c r="E20" s="9">
        <v>0.6</v>
      </c>
      <c r="F20" s="4" t="s">
        <v>18</v>
      </c>
    </row>
    <row r="21" spans="1:6" x14ac:dyDescent="0.2">
      <c r="A21" s="8">
        <v>0.61716435185185181</v>
      </c>
      <c r="B21" s="6">
        <v>11.429690000000001</v>
      </c>
      <c r="C21" s="4">
        <v>777</v>
      </c>
      <c r="D21" s="4" t="s">
        <v>25</v>
      </c>
      <c r="E21" s="4" t="s">
        <v>25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0</v>
      </c>
      <c r="E6" s="15"/>
      <c r="F6" s="16"/>
    </row>
    <row r="7" spans="2:13" ht="12.75" customHeight="1" x14ac:dyDescent="0.2">
      <c r="B7" s="1" t="s">
        <v>6</v>
      </c>
      <c r="C7" s="2" t="b">
        <v>0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34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689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溫度</vt:lpstr>
      <vt:lpstr>40度空白</vt:lpstr>
      <vt:lpstr>60度空白</vt:lpstr>
      <vt:lpstr>紙杯 80度</vt:lpstr>
      <vt:lpstr>紙杯60度</vt:lpstr>
      <vt:lpstr>紙杯40度</vt:lpstr>
      <vt:lpstr>保麗龍球(大)80</vt:lpstr>
      <vt:lpstr>保麗龍球(大)60 </vt:lpstr>
      <vt:lpstr>保麗龍球(大)40</vt:lpstr>
      <vt:lpstr>保麗龍球(小)80</vt:lpstr>
      <vt:lpstr>保麗龍球(小)60</vt:lpstr>
      <vt:lpstr>保麗龍球(小)40</vt:lpstr>
      <vt:lpstr>A2</vt:lpstr>
      <vt:lpstr>A3</vt:lpstr>
      <vt:lpstr>A4</vt:lpstr>
      <vt:lpstr>B2</vt:lpstr>
      <vt:lpstr>B3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2026-09-17T06:57:29Z</dcterms:modified>
</cp:coreProperties>
</file>