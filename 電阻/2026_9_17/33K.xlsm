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9_17\"/>
    </mc:Choice>
  </mc:AlternateContent>
  <xr:revisionPtr revIDLastSave="0" documentId="13_ncr:1_{20B2E5E7-CFC9-4114-993F-B69ECA8B436E}" xr6:coauthVersionLast="47" xr6:coauthVersionMax="47" xr10:uidLastSave="{00000000-0000-0000-0000-000000000000}"/>
  <bookViews>
    <workbookView xWindow="-120" yWindow="-120" windowWidth="20730" windowHeight="11160" tabRatio="795" firstSheet="6" activeTab="10" xr2:uid="{00000000-000D-0000-FFFF-FFFF00000000}"/>
  </bookViews>
  <sheets>
    <sheet name="溫度" sheetId="36" r:id="rId1"/>
    <sheet name="40度空白" sheetId="50" r:id="rId2"/>
    <sheet name="60度空白" sheetId="61" r:id="rId3"/>
    <sheet name="紙杯 80度" sheetId="37" r:id="rId4"/>
    <sheet name="紙杯60度" sheetId="39" r:id="rId5"/>
    <sheet name="紙杯40度" sheetId="41" r:id="rId6"/>
    <sheet name="保麗龍球(大)80" sheetId="57" r:id="rId7"/>
    <sheet name="保麗龍球(大)60 " sheetId="60" r:id="rId8"/>
    <sheet name="保麗龍球(大)40" sheetId="58" r:id="rId9"/>
    <sheet name="保麗龍球(小)80" sheetId="38" r:id="rId10"/>
    <sheet name="保麗龍球(小)60" sheetId="40" r:id="rId11"/>
    <sheet name="保麗龍球(小)40" sheetId="42" r:id="rId12"/>
    <sheet name="A2" sheetId="62" r:id="rId13"/>
    <sheet name="A3" sheetId="63" r:id="rId14"/>
    <sheet name="A4" sheetId="64" r:id="rId15"/>
    <sheet name="PLXDAQ_new_Settings" sheetId="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3" i="64" l="1"/>
  <c r="H3" i="63"/>
  <c r="H3" i="62"/>
  <c r="H2" i="64"/>
  <c r="H2" i="63"/>
  <c r="H2" i="62"/>
  <c r="H3" i="61"/>
  <c r="H3" i="50"/>
  <c r="H3" i="41"/>
  <c r="H3" i="39"/>
  <c r="H2" i="42"/>
  <c r="H3" i="42" s="1"/>
  <c r="H2" i="40"/>
  <c r="H3" i="40" s="1"/>
  <c r="H2" i="38"/>
  <c r="H3" i="38" s="1"/>
  <c r="H2" i="58"/>
  <c r="H3" i="58" s="1"/>
  <c r="H2" i="60"/>
  <c r="H3" i="60" s="1"/>
  <c r="H2" i="57"/>
  <c r="H3" i="57" s="1"/>
  <c r="H2" i="41"/>
  <c r="H2" i="39"/>
  <c r="H2" i="61"/>
  <c r="H2" i="50"/>
</calcChain>
</file>

<file path=xl/sharedStrings.xml><?xml version="1.0" encoding="utf-8"?>
<sst xmlns="http://schemas.openxmlformats.org/spreadsheetml/2006/main" count="554" uniqueCount="41">
  <si>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</si>
  <si>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</si>
  <si>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</si>
  <si>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</si>
  <si>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</si>
  <si>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</si>
  <si>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</si>
  <si>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</si>
  <si>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</si>
  <si>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</si>
  <si>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</si>
  <si>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</si>
  <si>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</si>
  <si>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</si>
  <si>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</si>
  <si>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</si>
  <si>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</si>
  <si>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</si>
  <si>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</si>
  <si>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</si>
  <si>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</si>
  <si>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</si>
  <si>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</si>
  <si>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</si>
  <si>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</si>
  <si>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None</t>
  </si>
  <si>
    <t>A0</t>
    <phoneticPr fontId="4" type="noConversion"/>
  </si>
  <si>
    <t>Time</t>
  </si>
  <si>
    <t>Timer</t>
  </si>
  <si>
    <t>A0</t>
  </si>
  <si>
    <t>T</t>
  </si>
  <si>
    <t>H</t>
  </si>
  <si>
    <t>Error Code</t>
  </si>
  <si>
    <t>26.00 C</t>
  </si>
  <si>
    <t>None</t>
    <phoneticPr fontId="4" type="noConversion"/>
  </si>
  <si>
    <t>27.00 C</t>
    <phoneticPr fontId="4" type="noConversion"/>
  </si>
  <si>
    <t>NULL</t>
    <phoneticPr fontId="4" type="noConversion"/>
  </si>
  <si>
    <t>Error</t>
    <phoneticPr fontId="4" type="noConversion"/>
  </si>
  <si>
    <t>溫度請見91KExcel</t>
    <phoneticPr fontId="4" type="noConversion"/>
  </si>
  <si>
    <t>保麗龍球(小)60</t>
    <phoneticPr fontId="4" type="noConversion"/>
  </si>
  <si>
    <t>26.00 C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</si>
</sst>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7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  <font>
      <b/>
      <sz val="72"/>
      <name val="標楷體"/>
      <family val="4"/>
      <charset val="136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1" fillId="0" borderId="0" xfId="0" applyNumberFormat="1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sheetPr codeName="工作表1"/>
  <dimension ref="A1:F26"/>
  <sheetViews>
    <sheetView workbookViewId="0">
      <selection activeCell="A2" sqref="A2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ht="100.5" x14ac:dyDescent="1.45">
      <c r="A1" s="19" t="s">
        <v>38</v>
      </c>
      <c r="B1" s="7"/>
      <c r="C1" s="5"/>
      <c r="D1" s="5"/>
      <c r="E1" s="5"/>
      <c r="F1" s="5"/>
    </row>
    <row r="2" spans="1:6" x14ac:dyDescent="0.2">
      <c r="A2" s="8"/>
      <c r="C2" s="10"/>
      <c r="D2" s="10"/>
      <c r="E2" s="10"/>
      <c r="F2" s="10"/>
    </row>
    <row r="3" spans="1:6" x14ac:dyDescent="0.2">
      <c r="A3" s="8"/>
      <c r="C3" s="10"/>
      <c r="D3" s="10"/>
      <c r="E3" s="10"/>
      <c r="F3" s="10"/>
    </row>
    <row r="4" spans="1:6" x14ac:dyDescent="0.2">
      <c r="A4" s="8"/>
      <c r="C4" s="10"/>
      <c r="D4" s="10"/>
      <c r="E4" s="10"/>
      <c r="F4" s="10"/>
    </row>
    <row r="5" spans="1:6" x14ac:dyDescent="0.2">
      <c r="A5" s="8"/>
      <c r="C5" s="10"/>
      <c r="D5" s="10"/>
      <c r="E5" s="10"/>
      <c r="F5" s="10"/>
    </row>
    <row r="6" spans="1:6" x14ac:dyDescent="0.2">
      <c r="A6" s="8"/>
      <c r="C6" s="10"/>
      <c r="D6" s="10"/>
      <c r="E6" s="10"/>
      <c r="F6" s="10"/>
    </row>
    <row r="7" spans="1:6" x14ac:dyDescent="0.2">
      <c r="A7" s="8"/>
      <c r="C7" s="10"/>
      <c r="D7" s="10"/>
      <c r="E7" s="9"/>
      <c r="F7" s="10"/>
    </row>
    <row r="8" spans="1:6" x14ac:dyDescent="0.2">
      <c r="A8" s="8"/>
      <c r="C8" s="10"/>
      <c r="D8" s="10"/>
      <c r="E8" s="10"/>
      <c r="F8" s="10"/>
    </row>
    <row r="9" spans="1:6" x14ac:dyDescent="0.2">
      <c r="A9" s="8"/>
      <c r="C9" s="10"/>
      <c r="D9" s="10"/>
      <c r="E9" s="10"/>
      <c r="F9" s="10"/>
    </row>
    <row r="10" spans="1:6" x14ac:dyDescent="0.2">
      <c r="A10" s="8"/>
      <c r="C10" s="10"/>
      <c r="D10" s="10"/>
      <c r="E10" s="10"/>
      <c r="F10" s="10"/>
    </row>
    <row r="11" spans="1:6" x14ac:dyDescent="0.2">
      <c r="A11" s="8"/>
      <c r="C11" s="10"/>
      <c r="D11" s="10"/>
      <c r="E11" s="10"/>
      <c r="F11" s="10"/>
    </row>
    <row r="12" spans="1:6" x14ac:dyDescent="0.2">
      <c r="A12" s="8"/>
      <c r="C12" s="10"/>
      <c r="D12" s="10"/>
      <c r="E12" s="9"/>
      <c r="F12" s="10"/>
    </row>
    <row r="13" spans="1:6" x14ac:dyDescent="0.2">
      <c r="A13" s="8"/>
      <c r="C13" s="10"/>
      <c r="D13" s="10"/>
      <c r="E13" s="10"/>
      <c r="F13" s="10"/>
    </row>
    <row r="14" spans="1:6" x14ac:dyDescent="0.2">
      <c r="A14" s="8"/>
      <c r="C14" s="10"/>
      <c r="D14" s="10"/>
      <c r="E14" s="10"/>
      <c r="F14" s="10"/>
    </row>
    <row r="15" spans="1:6" x14ac:dyDescent="0.2">
      <c r="A15" s="8"/>
      <c r="C15" s="10"/>
      <c r="D15" s="10"/>
      <c r="E15" s="10"/>
      <c r="F15" s="10"/>
    </row>
    <row r="16" spans="1:6" x14ac:dyDescent="0.2">
      <c r="A16" s="8"/>
      <c r="C16" s="10"/>
      <c r="D16" s="10"/>
      <c r="E16" s="10"/>
      <c r="F16" s="10"/>
    </row>
    <row r="17" spans="1:6" x14ac:dyDescent="0.2">
      <c r="A17" s="8"/>
      <c r="C17" s="10"/>
      <c r="D17" s="10"/>
      <c r="E17" s="9"/>
      <c r="F17" s="10"/>
    </row>
    <row r="18" spans="1:6" x14ac:dyDescent="0.2">
      <c r="A18" s="8"/>
      <c r="C18" s="10"/>
      <c r="D18" s="10"/>
      <c r="E18" s="10"/>
      <c r="F18" s="10"/>
    </row>
    <row r="19" spans="1:6" x14ac:dyDescent="0.2">
      <c r="A19" s="8"/>
      <c r="C19" s="10"/>
      <c r="D19" s="10"/>
      <c r="E19" s="10"/>
      <c r="F19" s="10"/>
    </row>
    <row r="20" spans="1:6" x14ac:dyDescent="0.2">
      <c r="A20" s="8"/>
      <c r="C20" s="10"/>
      <c r="D20" s="10"/>
      <c r="E20" s="10"/>
      <c r="F20" s="10"/>
    </row>
    <row r="21" spans="1:6" x14ac:dyDescent="0.2">
      <c r="A21" s="8"/>
      <c r="C21" s="10"/>
      <c r="D21" s="10"/>
      <c r="E21" s="10"/>
      <c r="F21" s="10"/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  <row r="25" spans="1:6" x14ac:dyDescent="0.2">
      <c r="A25" s="8"/>
    </row>
    <row r="26" spans="1:6" x14ac:dyDescent="0.2">
      <c r="A26" s="8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sheetPr codeName="工作表2"/>
  <dimension ref="A1:P47"/>
  <sheetViews>
    <sheetView workbookViewId="0">
      <selection activeCell="H4" sqref="H4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11" customWidth="1"/>
  </cols>
  <sheetData>
    <row r="1" spans="1:16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6" x14ac:dyDescent="0.2">
      <c r="A2" s="8"/>
      <c r="C2" s="10"/>
      <c r="D2" s="10"/>
      <c r="E2" s="10"/>
      <c r="F2" s="10"/>
      <c r="G2" s="11"/>
      <c r="H2" s="11" t="e">
        <f>AVERAGE(C2:C22)</f>
        <v>#DIV/0!</v>
      </c>
      <c r="I2" s="11"/>
      <c r="J2" s="11"/>
      <c r="K2" s="11"/>
      <c r="L2" s="11"/>
      <c r="M2" s="11"/>
      <c r="N2" s="11"/>
      <c r="O2" s="11"/>
      <c r="P2" s="11"/>
    </row>
    <row r="3" spans="1:16" x14ac:dyDescent="0.2">
      <c r="A3" s="8"/>
      <c r="C3" s="10"/>
      <c r="D3" s="10"/>
      <c r="E3" s="10"/>
      <c r="F3" s="10"/>
      <c r="G3" s="11"/>
      <c r="H3" s="11" t="e">
        <f>33*(1023-H2)/H2</f>
        <v>#DIV/0!</v>
      </c>
      <c r="I3" s="11"/>
      <c r="J3" s="11"/>
      <c r="K3" s="11"/>
      <c r="L3" s="11"/>
      <c r="M3" s="11"/>
      <c r="N3" s="11"/>
      <c r="O3" s="11"/>
      <c r="P3" s="11"/>
    </row>
    <row r="4" spans="1:16" x14ac:dyDescent="0.2">
      <c r="A4" s="8"/>
      <c r="C4" s="10"/>
      <c r="D4" s="10"/>
      <c r="E4" s="10"/>
      <c r="F4" s="10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">
      <c r="A5" s="8"/>
      <c r="C5" s="10"/>
      <c r="D5" s="10"/>
      <c r="E5" s="9"/>
      <c r="F5" s="10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2">
      <c r="A6" s="8"/>
      <c r="C6" s="10"/>
      <c r="D6" s="10"/>
      <c r="E6" s="10"/>
      <c r="F6" s="10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x14ac:dyDescent="0.2">
      <c r="A7" s="8"/>
      <c r="C7" s="10"/>
      <c r="D7" s="10"/>
      <c r="E7" s="10"/>
      <c r="F7" s="10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">
      <c r="A8" s="8"/>
      <c r="C8" s="10"/>
      <c r="D8" s="10"/>
      <c r="E8" s="10"/>
      <c r="F8" s="10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">
      <c r="A9" s="8"/>
      <c r="C9" s="10"/>
      <c r="D9" s="10"/>
      <c r="E9" s="10"/>
      <c r="F9" s="10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">
      <c r="A10" s="8"/>
      <c r="C10" s="10"/>
      <c r="D10" s="10"/>
      <c r="E10" s="9"/>
      <c r="F10" s="10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x14ac:dyDescent="0.2">
      <c r="A11" s="8"/>
      <c r="C11" s="10"/>
      <c r="D11" s="10"/>
      <c r="E11" s="10"/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x14ac:dyDescent="0.2">
      <c r="A12" s="8"/>
      <c r="C12" s="10"/>
      <c r="D12" s="10"/>
      <c r="E12" s="10"/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x14ac:dyDescent="0.2">
      <c r="A13" s="8"/>
      <c r="C13" s="10"/>
      <c r="D13" s="10"/>
      <c r="E13" s="10"/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x14ac:dyDescent="0.2">
      <c r="A14" s="8"/>
      <c r="C14" s="10"/>
      <c r="D14" s="10"/>
      <c r="E14" s="10"/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</row>
    <row r="15" spans="1:16" x14ac:dyDescent="0.2">
      <c r="A15" s="8"/>
      <c r="C15" s="10"/>
      <c r="D15" s="10"/>
      <c r="E15" s="9"/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</row>
    <row r="16" spans="1:16" x14ac:dyDescent="0.2">
      <c r="A16" s="8"/>
      <c r="C16" s="10"/>
      <c r="D16" s="10"/>
      <c r="E16" s="10"/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2"/>
    </row>
    <row r="17" spans="1:16" x14ac:dyDescent="0.2">
      <c r="A17" s="8"/>
      <c r="C17" s="10"/>
      <c r="D17" s="10"/>
      <c r="E17" s="10"/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</row>
    <row r="18" spans="1:16" x14ac:dyDescent="0.2">
      <c r="A18" s="8"/>
      <c r="C18" s="10"/>
      <c r="D18" s="10"/>
      <c r="E18" s="10"/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</row>
    <row r="19" spans="1:16" x14ac:dyDescent="0.2">
      <c r="A19" s="8"/>
      <c r="C19" s="10"/>
      <c r="D19" s="10"/>
      <c r="E19" s="10"/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</row>
    <row r="20" spans="1:16" x14ac:dyDescent="0.2">
      <c r="A20" s="8"/>
      <c r="C20" s="10"/>
      <c r="D20" s="10"/>
      <c r="E20" s="9"/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1:16" x14ac:dyDescent="0.2">
      <c r="A21" s="8"/>
      <c r="C21" s="10"/>
      <c r="D21" s="10"/>
      <c r="E21" s="10"/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</row>
    <row r="22" spans="1:16" x14ac:dyDescent="0.2">
      <c r="A22" s="8"/>
      <c r="C22" s="10"/>
      <c r="D22" s="10"/>
      <c r="E22" s="10"/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</row>
    <row r="23" spans="1:16" x14ac:dyDescent="0.2">
      <c r="A23" s="10"/>
      <c r="C23" s="10"/>
      <c r="D23" s="10"/>
      <c r="E23" s="10"/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</row>
    <row r="24" spans="1:16" x14ac:dyDescent="0.2">
      <c r="A24" s="10"/>
      <c r="C24" s="10"/>
      <c r="D24" s="10"/>
      <c r="E24" s="10"/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</row>
    <row r="25" spans="1:16" x14ac:dyDescent="0.2">
      <c r="A25" s="10"/>
      <c r="C25" s="10"/>
      <c r="D25" s="10"/>
      <c r="E25" s="10"/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</row>
    <row r="26" spans="1:16" x14ac:dyDescent="0.2">
      <c r="A26" s="10"/>
      <c r="C26" s="10"/>
      <c r="D26" s="10"/>
      <c r="E26" s="10"/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</row>
    <row r="27" spans="1:16" x14ac:dyDescent="0.2">
      <c r="A27" s="10"/>
      <c r="C27" s="10"/>
      <c r="D27" s="10"/>
      <c r="E27" s="10"/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</row>
    <row r="28" spans="1:16" x14ac:dyDescent="0.2">
      <c r="A28" s="10"/>
      <c r="C28" s="10"/>
      <c r="D28" s="10"/>
      <c r="E28" s="10"/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</row>
    <row r="29" spans="1:16" x14ac:dyDescent="0.2">
      <c r="A29" s="10"/>
      <c r="C29" s="10"/>
      <c r="D29" s="10"/>
      <c r="E29" s="10"/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</row>
    <row r="30" spans="1:16" x14ac:dyDescent="0.2">
      <c r="A30" s="10"/>
      <c r="C30" s="10"/>
      <c r="D30" s="10"/>
      <c r="E30" s="10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</row>
    <row r="31" spans="1:16" x14ac:dyDescent="0.2">
      <c r="A31" s="10"/>
      <c r="C31" s="10"/>
      <c r="D31" s="10"/>
      <c r="E31" s="10"/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</row>
    <row r="32" spans="1:16" x14ac:dyDescent="0.2">
      <c r="A32" s="10"/>
      <c r="C32" s="10"/>
      <c r="D32" s="10"/>
      <c r="E32" s="10"/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</row>
    <row r="33" spans="1:16" x14ac:dyDescent="0.2">
      <c r="A33" s="10"/>
      <c r="C33" s="10"/>
      <c r="D33" s="10"/>
      <c r="E33" s="10"/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</row>
    <row r="34" spans="1:16" x14ac:dyDescent="0.2">
      <c r="A34" s="10"/>
      <c r="C34" s="10"/>
      <c r="D34" s="10"/>
      <c r="E34" s="10"/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1:16" x14ac:dyDescent="0.2">
      <c r="A35" s="10"/>
      <c r="C35" s="10"/>
      <c r="D35" s="10"/>
      <c r="E35" s="10"/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1:16" x14ac:dyDescent="0.2">
      <c r="A36" s="10"/>
      <c r="C36" s="10"/>
      <c r="D36" s="10"/>
      <c r="E36" s="10"/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1:16" x14ac:dyDescent="0.2">
      <c r="A37" s="10"/>
      <c r="C37" s="10"/>
      <c r="D37" s="10"/>
      <c r="E37" s="10"/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1:16" x14ac:dyDescent="0.2">
      <c r="A38" s="10"/>
      <c r="C38" s="10"/>
      <c r="D38" s="10"/>
      <c r="E38" s="10"/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1:16" x14ac:dyDescent="0.2">
      <c r="A39" s="10"/>
      <c r="C39" s="10"/>
      <c r="D39" s="10"/>
      <c r="E39" s="10"/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1:16" x14ac:dyDescent="0.2">
      <c r="A40" s="10"/>
      <c r="C40" s="10"/>
      <c r="D40" s="10"/>
      <c r="E40" s="10"/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</row>
    <row r="41" spans="1:16" x14ac:dyDescent="0.2">
      <c r="A41" s="10"/>
      <c r="C41" s="10"/>
      <c r="D41" s="10"/>
      <c r="E41" s="10"/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</row>
    <row r="42" spans="1:16" x14ac:dyDescent="0.2">
      <c r="A42" s="10"/>
      <c r="C42" s="10"/>
      <c r="D42" s="10"/>
      <c r="E42" s="10"/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</row>
    <row r="43" spans="1:16" x14ac:dyDescent="0.2">
      <c r="A43" s="10"/>
      <c r="C43" s="10"/>
      <c r="D43" s="10"/>
      <c r="E43" s="10"/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</row>
    <row r="44" spans="1:16" x14ac:dyDescent="0.2">
      <c r="A44" s="10"/>
      <c r="C44" s="10"/>
      <c r="D44" s="10"/>
      <c r="E44" s="10"/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</row>
    <row r="45" spans="1:16" x14ac:dyDescent="0.2">
      <c r="A45" s="10"/>
      <c r="C45" s="10"/>
      <c r="D45" s="10"/>
      <c r="E45" s="10"/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</row>
    <row r="46" spans="1:16" x14ac:dyDescent="0.2">
      <c r="A46" s="10"/>
      <c r="C46" s="10"/>
      <c r="D46" s="10"/>
      <c r="E46" s="10"/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</row>
    <row r="47" spans="1:16" x14ac:dyDescent="0.2">
      <c r="A47" s="10"/>
      <c r="C47" s="10"/>
      <c r="D47" s="10"/>
      <c r="E47" s="10"/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839F-1D99-46BF-AF34-6A2DE71523D6}">
  <sheetPr codeName="工作表3"/>
  <dimension ref="A1:H21"/>
  <sheetViews>
    <sheetView topLeftCell="B1" workbookViewId="0">
      <selection activeCell="H3" sqref="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8" x14ac:dyDescent="0.2">
      <c r="A1" s="5" t="s">
        <v>27</v>
      </c>
      <c r="B1" s="7" t="s">
        <v>28</v>
      </c>
      <c r="C1" s="5" t="s">
        <v>29</v>
      </c>
      <c r="D1" s="5" t="s">
        <v>30</v>
      </c>
      <c r="E1" s="5" t="s">
        <v>31</v>
      </c>
      <c r="F1" s="5" t="s">
        <v>32</v>
      </c>
    </row>
    <row r="2" spans="1:8" x14ac:dyDescent="0.2">
      <c r="A2" s="8">
        <v>0.54822916666666666</v>
      </c>
      <c r="B2" s="6">
        <v>1.796875</v>
      </c>
      <c r="C2" s="4">
        <v>787</v>
      </c>
      <c r="D2" s="4" t="s">
        <v>25</v>
      </c>
      <c r="E2" s="4" t="s">
        <v>25</v>
      </c>
      <c r="F2" s="4" t="s">
        <v>25</v>
      </c>
      <c r="H2" s="11">
        <f>AVERAGE(C2:C22)</f>
        <v>787.15</v>
      </c>
    </row>
    <row r="3" spans="1:8" x14ac:dyDescent="0.2">
      <c r="A3" s="8">
        <v>0.5482407407407407</v>
      </c>
      <c r="B3" s="6">
        <v>2.265625</v>
      </c>
      <c r="C3" s="4">
        <v>785</v>
      </c>
      <c r="D3" s="4" t="s">
        <v>25</v>
      </c>
      <c r="E3" s="4" t="s">
        <v>25</v>
      </c>
      <c r="F3" s="4" t="s">
        <v>25</v>
      </c>
      <c r="H3" s="11">
        <f>33*(1023-H2)/H2</f>
        <v>9.8876325986152587</v>
      </c>
    </row>
    <row r="4" spans="1:8" x14ac:dyDescent="0.2">
      <c r="A4" s="8">
        <v>0.5482407407407407</v>
      </c>
      <c r="B4" s="6">
        <v>2.765625</v>
      </c>
      <c r="C4" s="4">
        <v>786</v>
      </c>
      <c r="D4" s="4" t="s">
        <v>25</v>
      </c>
      <c r="E4" s="4" t="s">
        <v>25</v>
      </c>
      <c r="F4" s="4" t="s">
        <v>25</v>
      </c>
    </row>
    <row r="5" spans="1:8" x14ac:dyDescent="0.2">
      <c r="A5" s="8">
        <v>0.54825231481481485</v>
      </c>
      <c r="B5" s="6">
        <v>3.296875</v>
      </c>
      <c r="C5" s="4">
        <v>787</v>
      </c>
      <c r="D5" s="4" t="s">
        <v>17</v>
      </c>
      <c r="E5" s="9">
        <v>0.57999999999999996</v>
      </c>
      <c r="F5" s="4" t="s">
        <v>18</v>
      </c>
    </row>
    <row r="6" spans="1:8" x14ac:dyDescent="0.2">
      <c r="A6" s="8">
        <v>0.54825231481481485</v>
      </c>
      <c r="B6" s="6">
        <v>3.8125</v>
      </c>
      <c r="C6" s="4">
        <v>786</v>
      </c>
      <c r="D6" s="4" t="s">
        <v>25</v>
      </c>
      <c r="E6" s="4" t="s">
        <v>25</v>
      </c>
      <c r="F6" s="4" t="s">
        <v>25</v>
      </c>
    </row>
    <row r="7" spans="1:8" x14ac:dyDescent="0.2">
      <c r="A7" s="8">
        <v>0.54826388888888888</v>
      </c>
      <c r="B7" s="6">
        <v>4.3125</v>
      </c>
      <c r="C7" s="4">
        <v>787</v>
      </c>
      <c r="D7" s="4" t="s">
        <v>25</v>
      </c>
      <c r="E7" s="4" t="s">
        <v>25</v>
      </c>
      <c r="F7" s="4" t="s">
        <v>25</v>
      </c>
    </row>
    <row r="8" spans="1:8" x14ac:dyDescent="0.2">
      <c r="A8" s="8">
        <v>0.54826388888888888</v>
      </c>
      <c r="B8" s="6">
        <v>4.8125</v>
      </c>
      <c r="C8" s="4">
        <v>788</v>
      </c>
      <c r="D8" s="4" t="s">
        <v>25</v>
      </c>
      <c r="E8" s="4" t="s">
        <v>25</v>
      </c>
      <c r="F8" s="4" t="s">
        <v>25</v>
      </c>
    </row>
    <row r="9" spans="1:8" x14ac:dyDescent="0.2">
      <c r="A9" s="8">
        <v>0.54827546296296292</v>
      </c>
      <c r="B9" s="6">
        <v>5.3125</v>
      </c>
      <c r="C9" s="4">
        <v>786</v>
      </c>
      <c r="D9" s="4" t="s">
        <v>25</v>
      </c>
      <c r="E9" s="4" t="s">
        <v>25</v>
      </c>
      <c r="F9" s="4" t="s">
        <v>25</v>
      </c>
    </row>
    <row r="10" spans="1:8" x14ac:dyDescent="0.2">
      <c r="A10" s="8">
        <v>0.54828703703703707</v>
      </c>
      <c r="B10" s="6">
        <v>5.828125</v>
      </c>
      <c r="C10" s="4">
        <v>788</v>
      </c>
      <c r="D10" s="4" t="s">
        <v>17</v>
      </c>
      <c r="E10" s="9">
        <v>0.57999999999999996</v>
      </c>
      <c r="F10" s="4" t="s">
        <v>18</v>
      </c>
    </row>
    <row r="11" spans="1:8" x14ac:dyDescent="0.2">
      <c r="A11" s="8">
        <v>0.54828703703703707</v>
      </c>
      <c r="B11" s="6">
        <v>6.34375</v>
      </c>
      <c r="C11" s="4">
        <v>787</v>
      </c>
      <c r="D11" s="4" t="s">
        <v>25</v>
      </c>
      <c r="E11" s="4" t="s">
        <v>25</v>
      </c>
      <c r="F11" s="4" t="s">
        <v>25</v>
      </c>
    </row>
    <row r="12" spans="1:8" x14ac:dyDescent="0.2">
      <c r="A12" s="8">
        <v>0.54829861111111111</v>
      </c>
      <c r="B12" s="6">
        <v>6.8398440000000003</v>
      </c>
      <c r="C12" s="4">
        <v>788</v>
      </c>
      <c r="D12" s="4" t="s">
        <v>25</v>
      </c>
      <c r="E12" s="4" t="s">
        <v>25</v>
      </c>
      <c r="F12" s="4" t="s">
        <v>25</v>
      </c>
    </row>
    <row r="13" spans="1:8" x14ac:dyDescent="0.2">
      <c r="A13" s="8">
        <v>0.54829861111111111</v>
      </c>
      <c r="B13" s="6">
        <v>7.3398440000000003</v>
      </c>
      <c r="C13" s="4">
        <v>786</v>
      </c>
      <c r="D13" s="4" t="s">
        <v>25</v>
      </c>
      <c r="E13" s="4" t="s">
        <v>25</v>
      </c>
      <c r="F13" s="4" t="s">
        <v>25</v>
      </c>
    </row>
    <row r="14" spans="1:8" x14ac:dyDescent="0.2">
      <c r="A14" s="8">
        <v>0.54831018518518515</v>
      </c>
      <c r="B14" s="6">
        <v>7.8554690000000003</v>
      </c>
      <c r="C14" s="4">
        <v>787</v>
      </c>
      <c r="D14" s="4" t="s">
        <v>25</v>
      </c>
      <c r="E14" s="4" t="s">
        <v>25</v>
      </c>
      <c r="F14" s="4" t="s">
        <v>25</v>
      </c>
    </row>
    <row r="15" spans="1:8" x14ac:dyDescent="0.2">
      <c r="A15" s="8">
        <v>0.54831018518518515</v>
      </c>
      <c r="B15" s="6">
        <v>8.375</v>
      </c>
      <c r="C15" s="4">
        <v>787</v>
      </c>
      <c r="D15" s="4" t="s">
        <v>17</v>
      </c>
      <c r="E15" s="9">
        <v>0.57999999999999996</v>
      </c>
      <c r="F15" s="4" t="s">
        <v>18</v>
      </c>
    </row>
    <row r="16" spans="1:8" x14ac:dyDescent="0.2">
      <c r="A16" s="8">
        <v>0.5483217592592593</v>
      </c>
      <c r="B16" s="6">
        <v>8.8867189999999994</v>
      </c>
      <c r="C16" s="4">
        <v>788</v>
      </c>
      <c r="D16" s="4" t="s">
        <v>25</v>
      </c>
      <c r="E16" s="4" t="s">
        <v>25</v>
      </c>
      <c r="F16" s="4" t="s">
        <v>25</v>
      </c>
    </row>
    <row r="17" spans="1:6" x14ac:dyDescent="0.2">
      <c r="A17" s="8">
        <v>0.5483217592592593</v>
      </c>
      <c r="B17" s="6">
        <v>9.3867189999999994</v>
      </c>
      <c r="C17" s="4">
        <v>789</v>
      </c>
      <c r="D17" s="4" t="s">
        <v>25</v>
      </c>
      <c r="E17" s="4" t="s">
        <v>25</v>
      </c>
      <c r="F17" s="4" t="s">
        <v>25</v>
      </c>
    </row>
    <row r="18" spans="1:6" x14ac:dyDescent="0.2">
      <c r="A18" s="8">
        <v>0.54833333333333334</v>
      </c>
      <c r="B18" s="6">
        <v>9.8867189999999994</v>
      </c>
      <c r="C18" s="4">
        <v>787</v>
      </c>
      <c r="D18" s="4" t="s">
        <v>25</v>
      </c>
      <c r="E18" s="4" t="s">
        <v>25</v>
      </c>
      <c r="F18" s="4" t="s">
        <v>25</v>
      </c>
    </row>
    <row r="19" spans="1:6" x14ac:dyDescent="0.2">
      <c r="A19" s="8">
        <v>0.54833333333333334</v>
      </c>
      <c r="B19" s="6">
        <v>10.38672</v>
      </c>
      <c r="C19" s="4">
        <v>787</v>
      </c>
      <c r="D19" s="4" t="s">
        <v>25</v>
      </c>
      <c r="E19" s="4" t="s">
        <v>25</v>
      </c>
      <c r="F19" s="4" t="s">
        <v>25</v>
      </c>
    </row>
    <row r="20" spans="1:6" x14ac:dyDescent="0.2">
      <c r="A20" s="8">
        <v>0.54834490740740738</v>
      </c>
      <c r="B20" s="6">
        <v>10.91797</v>
      </c>
      <c r="C20" s="4">
        <v>789</v>
      </c>
      <c r="D20" s="4" t="s">
        <v>19</v>
      </c>
      <c r="E20" s="4" t="s">
        <v>19</v>
      </c>
      <c r="F20" s="4">
        <v>21</v>
      </c>
    </row>
    <row r="21" spans="1:6" x14ac:dyDescent="0.2">
      <c r="A21" s="8">
        <v>0.54834490740740738</v>
      </c>
      <c r="B21" s="6">
        <v>11.433590000000001</v>
      </c>
      <c r="C21" s="4">
        <v>788</v>
      </c>
      <c r="D21" s="4" t="s">
        <v>19</v>
      </c>
      <c r="E21" s="4" t="s">
        <v>19</v>
      </c>
      <c r="F21" s="4">
        <v>3088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sheetPr codeName="工作表4"/>
  <dimension ref="A1:Q21"/>
  <sheetViews>
    <sheetView workbookViewId="0">
      <selection activeCell="G3" sqref="G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0.7109375" customWidth="1"/>
    <col min="15" max="15" width="11.42578125" bestFit="1" customWidth="1"/>
    <col min="17" max="17" width="11.42578125" bestFit="1" customWidth="1"/>
  </cols>
  <sheetData>
    <row r="1" spans="1:17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17" x14ac:dyDescent="0.2">
      <c r="A2" s="10"/>
      <c r="B2" s="10"/>
      <c r="C2" s="10"/>
      <c r="D2" s="10"/>
      <c r="E2" s="10"/>
      <c r="F2" s="10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</row>
    <row r="3" spans="1:17" x14ac:dyDescent="0.2">
      <c r="A3" s="10"/>
      <c r="B3" s="10"/>
      <c r="C3" s="10"/>
      <c r="D3" s="10"/>
      <c r="E3" s="10"/>
      <c r="F3" s="10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</row>
    <row r="4" spans="1:17" x14ac:dyDescent="0.2">
      <c r="A4" s="10"/>
      <c r="B4" s="10"/>
      <c r="C4" s="10"/>
      <c r="D4" s="10"/>
      <c r="E4" s="10"/>
      <c r="F4" s="10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1:17" x14ac:dyDescent="0.2">
      <c r="A5" s="10"/>
      <c r="B5" s="10"/>
      <c r="C5" s="10"/>
      <c r="D5" s="10"/>
      <c r="E5" s="10"/>
      <c r="F5" s="10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</row>
    <row r="6" spans="1:17" x14ac:dyDescent="0.2">
      <c r="A6" s="10"/>
      <c r="B6" s="10"/>
      <c r="C6" s="10"/>
      <c r="D6" s="10"/>
      <c r="E6" s="10"/>
      <c r="F6" s="10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</row>
    <row r="7" spans="1:17" x14ac:dyDescent="0.2">
      <c r="A7" s="10"/>
      <c r="B7" s="10"/>
      <c r="C7" s="10"/>
      <c r="D7" s="10"/>
      <c r="E7" s="10"/>
      <c r="F7" s="10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7" x14ac:dyDescent="0.2">
      <c r="A8" s="10"/>
      <c r="B8" s="10"/>
      <c r="C8" s="10"/>
      <c r="D8" s="10"/>
      <c r="E8" s="10"/>
      <c r="F8" s="10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1:17" x14ac:dyDescent="0.2">
      <c r="A9" s="10"/>
      <c r="B9" s="10"/>
      <c r="C9" s="10"/>
      <c r="D9" s="10"/>
      <c r="E9" s="10"/>
      <c r="F9" s="10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</row>
    <row r="10" spans="1:17" x14ac:dyDescent="0.2">
      <c r="A10" s="10"/>
      <c r="B10" s="10"/>
      <c r="C10" s="10"/>
      <c r="D10" s="10"/>
      <c r="E10" s="10"/>
      <c r="F10" s="10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</row>
    <row r="11" spans="1:17" x14ac:dyDescent="0.2">
      <c r="A11" s="10"/>
      <c r="B11" s="10"/>
      <c r="C11" s="10"/>
      <c r="D11" s="10"/>
      <c r="E11" s="10"/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</row>
    <row r="12" spans="1:17" x14ac:dyDescent="0.2">
      <c r="A12" s="10"/>
      <c r="B12" s="10"/>
      <c r="C12" s="10"/>
      <c r="D12" s="10"/>
      <c r="E12" s="10"/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</row>
    <row r="13" spans="1:17" x14ac:dyDescent="0.2">
      <c r="A13" s="10"/>
      <c r="B13" s="10"/>
      <c r="C13" s="10"/>
      <c r="D13" s="10"/>
      <c r="E13" s="10"/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</row>
    <row r="14" spans="1:17" x14ac:dyDescent="0.2">
      <c r="A14" s="10"/>
      <c r="B14" s="10"/>
      <c r="C14" s="10"/>
      <c r="D14" s="10"/>
      <c r="E14" s="10"/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</row>
    <row r="15" spans="1:17" x14ac:dyDescent="0.2">
      <c r="A15" s="10"/>
      <c r="B15" s="10"/>
      <c r="C15" s="10"/>
      <c r="D15" s="10"/>
      <c r="E15" s="10"/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</row>
    <row r="16" spans="1:17" x14ac:dyDescent="0.2">
      <c r="A16" s="10"/>
      <c r="B16" s="10"/>
      <c r="C16" s="10"/>
      <c r="D16" s="10"/>
      <c r="E16" s="10"/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</row>
    <row r="17" spans="1:17" x14ac:dyDescent="0.2">
      <c r="A17" s="10"/>
      <c r="B17" s="10"/>
      <c r="C17" s="10"/>
      <c r="D17" s="10"/>
      <c r="E17" s="10"/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1:17" x14ac:dyDescent="0.2">
      <c r="A18" s="10"/>
      <c r="B18" s="10"/>
      <c r="C18" s="10"/>
      <c r="D18" s="10"/>
      <c r="E18" s="10"/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</row>
    <row r="19" spans="1:17" x14ac:dyDescent="0.2">
      <c r="A19" s="10"/>
      <c r="B19" s="10"/>
      <c r="C19" s="10"/>
      <c r="D19" s="10"/>
      <c r="E19" s="10"/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</row>
    <row r="20" spans="1:17" x14ac:dyDescent="0.2">
      <c r="A20" s="10"/>
      <c r="B20" s="10"/>
      <c r="C20" s="10"/>
      <c r="D20" s="10"/>
      <c r="E20" s="10"/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</row>
    <row r="21" spans="1:17" x14ac:dyDescent="0.2">
      <c r="A21" s="10"/>
      <c r="B21" s="10"/>
      <c r="C21" s="10"/>
      <c r="D21" s="10"/>
      <c r="E21" s="10"/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sheetPr codeName="工作表5"/>
  <dimension ref="A1:I22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  <col min="9" max="9" width="11.42578125" bestFit="1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0.59300925925925929</v>
      </c>
      <c r="B2" s="6">
        <v>1.816406</v>
      </c>
      <c r="C2" s="10">
        <v>588</v>
      </c>
      <c r="D2" s="10" t="s">
        <v>34</v>
      </c>
      <c r="E2" s="10" t="s">
        <v>34</v>
      </c>
      <c r="F2" s="10" t="s">
        <v>34</v>
      </c>
      <c r="G2" s="11"/>
      <c r="H2" s="11">
        <f>AVERAGE(C2:C21)</f>
        <v>592.45000000000005</v>
      </c>
      <c r="I2" s="11"/>
    </row>
    <row r="3" spans="1:9" x14ac:dyDescent="0.2">
      <c r="A3" s="8">
        <v>0.59300925925925929</v>
      </c>
      <c r="B3" s="6">
        <v>2.2695310000000002</v>
      </c>
      <c r="C3" s="10">
        <v>594</v>
      </c>
      <c r="D3" s="10" t="s">
        <v>34</v>
      </c>
      <c r="E3" s="10" t="s">
        <v>34</v>
      </c>
      <c r="F3" s="10" t="s">
        <v>34</v>
      </c>
      <c r="G3" s="11"/>
      <c r="H3" s="11">
        <f>33*(1023-H2)/H2</f>
        <v>23.982023799476742</v>
      </c>
      <c r="I3" s="11"/>
    </row>
    <row r="4" spans="1:9" x14ac:dyDescent="0.2">
      <c r="A4" s="8">
        <v>0.59300925925925929</v>
      </c>
      <c r="B4" s="6">
        <v>2.7734380000000001</v>
      </c>
      <c r="C4" s="10">
        <v>589</v>
      </c>
      <c r="D4" s="10" t="s">
        <v>34</v>
      </c>
      <c r="E4" s="10" t="s">
        <v>34</v>
      </c>
      <c r="F4" s="10" t="s">
        <v>34</v>
      </c>
      <c r="G4" s="11"/>
      <c r="H4" s="11"/>
      <c r="I4" s="11"/>
    </row>
    <row r="5" spans="1:9" x14ac:dyDescent="0.2">
      <c r="A5" s="8">
        <v>0.59302083333333333</v>
      </c>
      <c r="B5" s="6">
        <v>3.2890630000000001</v>
      </c>
      <c r="C5" s="10">
        <v>592</v>
      </c>
      <c r="D5" s="10" t="s">
        <v>35</v>
      </c>
      <c r="E5" s="9">
        <v>0.62</v>
      </c>
      <c r="F5" s="10" t="s">
        <v>36</v>
      </c>
      <c r="G5" s="11"/>
      <c r="H5" s="11"/>
      <c r="I5" s="11"/>
    </row>
    <row r="6" spans="1:9" x14ac:dyDescent="0.2">
      <c r="A6" s="8">
        <v>0.59303240740740737</v>
      </c>
      <c r="B6" s="6">
        <v>3.8046880000000001</v>
      </c>
      <c r="C6" s="10">
        <v>589</v>
      </c>
      <c r="D6" s="10" t="s">
        <v>34</v>
      </c>
      <c r="E6" s="10" t="s">
        <v>34</v>
      </c>
      <c r="F6" s="10" t="s">
        <v>34</v>
      </c>
      <c r="G6" s="11"/>
      <c r="H6" s="11"/>
      <c r="I6" s="11"/>
    </row>
    <row r="7" spans="1:9" x14ac:dyDescent="0.2">
      <c r="A7" s="8">
        <v>0.59303240740740737</v>
      </c>
      <c r="B7" s="6">
        <v>4.3046879999999996</v>
      </c>
      <c r="C7" s="10">
        <v>590</v>
      </c>
      <c r="D7" s="10" t="s">
        <v>34</v>
      </c>
      <c r="E7" s="10" t="s">
        <v>34</v>
      </c>
      <c r="F7" s="10" t="s">
        <v>34</v>
      </c>
      <c r="G7" s="11"/>
      <c r="H7" s="11"/>
      <c r="I7" s="11"/>
    </row>
    <row r="8" spans="1:9" x14ac:dyDescent="0.2">
      <c r="A8" s="8">
        <v>0.59304398148148152</v>
      </c>
      <c r="B8" s="6">
        <v>4.8046879999999996</v>
      </c>
      <c r="C8" s="10">
        <v>592</v>
      </c>
      <c r="D8" s="10" t="s">
        <v>34</v>
      </c>
      <c r="E8" s="10" t="s">
        <v>34</v>
      </c>
      <c r="F8" s="10" t="s">
        <v>34</v>
      </c>
      <c r="G8" s="11"/>
      <c r="H8" s="11"/>
      <c r="I8" s="11"/>
    </row>
    <row r="9" spans="1:9" x14ac:dyDescent="0.2">
      <c r="A9" s="8">
        <v>0.59304398148148152</v>
      </c>
      <c r="B9" s="6">
        <v>5.3046879999999996</v>
      </c>
      <c r="C9" s="10">
        <v>590</v>
      </c>
      <c r="D9" s="10" t="s">
        <v>34</v>
      </c>
      <c r="E9" s="10" t="s">
        <v>34</v>
      </c>
      <c r="F9" s="10" t="s">
        <v>34</v>
      </c>
      <c r="G9" s="11"/>
      <c r="H9" s="11"/>
      <c r="I9" s="11"/>
    </row>
    <row r="10" spans="1:9" x14ac:dyDescent="0.2">
      <c r="A10" s="8">
        <v>0.59305555555555556</v>
      </c>
      <c r="B10" s="6">
        <v>5.8359379999999996</v>
      </c>
      <c r="C10" s="10">
        <v>592</v>
      </c>
      <c r="D10" s="10" t="s">
        <v>35</v>
      </c>
      <c r="E10" s="9">
        <v>0.62</v>
      </c>
      <c r="F10" s="10" t="s">
        <v>36</v>
      </c>
      <c r="G10" s="11"/>
      <c r="H10" s="11"/>
      <c r="I10" s="11"/>
    </row>
    <row r="11" spans="1:9" x14ac:dyDescent="0.2">
      <c r="A11" s="8">
        <v>0.59305555555555556</v>
      </c>
      <c r="B11" s="6">
        <v>6.3515629999999996</v>
      </c>
      <c r="C11" s="10">
        <v>592</v>
      </c>
      <c r="D11" s="10" t="s">
        <v>34</v>
      </c>
      <c r="E11" s="10" t="s">
        <v>34</v>
      </c>
      <c r="F11" s="10" t="s">
        <v>34</v>
      </c>
      <c r="G11" s="11"/>
      <c r="H11" s="11"/>
      <c r="I11" s="11"/>
    </row>
    <row r="12" spans="1:9" x14ac:dyDescent="0.2">
      <c r="A12" s="8">
        <v>0.5930671296296296</v>
      </c>
      <c r="B12" s="6">
        <v>6.8515629999999996</v>
      </c>
      <c r="C12" s="10">
        <v>592</v>
      </c>
      <c r="D12" s="10" t="s">
        <v>34</v>
      </c>
      <c r="E12" s="10" t="s">
        <v>34</v>
      </c>
      <c r="F12" s="10" t="s">
        <v>34</v>
      </c>
      <c r="G12" s="11"/>
      <c r="H12" s="11"/>
      <c r="I12" s="11"/>
    </row>
    <row r="13" spans="1:9" x14ac:dyDescent="0.2">
      <c r="A13" s="8">
        <v>0.5930671296296296</v>
      </c>
      <c r="B13" s="6">
        <v>7.3515629999999996</v>
      </c>
      <c r="C13" s="10">
        <v>594</v>
      </c>
      <c r="D13" s="10" t="s">
        <v>34</v>
      </c>
      <c r="E13" s="10" t="s">
        <v>34</v>
      </c>
      <c r="F13" s="10" t="s">
        <v>34</v>
      </c>
      <c r="G13" s="11"/>
      <c r="H13" s="11"/>
      <c r="I13" s="11"/>
    </row>
    <row r="14" spans="1:9" x14ac:dyDescent="0.2">
      <c r="A14" s="8">
        <v>0.59307870370370375</v>
      </c>
      <c r="B14" s="6">
        <v>7.8515629999999996</v>
      </c>
      <c r="C14" s="10">
        <v>593</v>
      </c>
      <c r="D14" s="10" t="s">
        <v>34</v>
      </c>
      <c r="E14" s="10" t="s">
        <v>34</v>
      </c>
      <c r="F14" s="10" t="s">
        <v>34</v>
      </c>
      <c r="G14" s="11"/>
      <c r="H14" s="11"/>
      <c r="I14" s="11"/>
    </row>
    <row r="15" spans="1:9" x14ac:dyDescent="0.2">
      <c r="A15" s="8">
        <v>0.59309027777777779</v>
      </c>
      <c r="B15" s="6">
        <v>8.8671880000000005</v>
      </c>
      <c r="C15" s="10">
        <v>593</v>
      </c>
      <c r="D15" s="10" t="s">
        <v>37</v>
      </c>
      <c r="E15" s="9" t="s">
        <v>19</v>
      </c>
      <c r="F15" s="10">
        <v>-237</v>
      </c>
      <c r="G15" s="11"/>
      <c r="H15" s="11"/>
      <c r="I15" s="11"/>
    </row>
    <row r="16" spans="1:9" x14ac:dyDescent="0.2">
      <c r="A16" s="8">
        <v>0.59309027777777779</v>
      </c>
      <c r="B16" s="6">
        <v>9.3984380000000005</v>
      </c>
      <c r="C16" s="10">
        <v>595</v>
      </c>
      <c r="D16" s="10" t="s">
        <v>37</v>
      </c>
      <c r="E16" s="10" t="s">
        <v>37</v>
      </c>
      <c r="F16" s="10">
        <v>4112</v>
      </c>
      <c r="G16" s="11"/>
      <c r="H16" s="11"/>
      <c r="I16" s="11"/>
    </row>
    <row r="17" spans="1:9" x14ac:dyDescent="0.2">
      <c r="A17" s="8">
        <v>0.59310185185185182</v>
      </c>
      <c r="B17" s="6">
        <v>9.9453130000000005</v>
      </c>
      <c r="C17" s="10">
        <v>596</v>
      </c>
      <c r="D17" s="10" t="s">
        <v>35</v>
      </c>
      <c r="E17" s="9">
        <v>0.62</v>
      </c>
      <c r="F17" s="10" t="s">
        <v>36</v>
      </c>
      <c r="G17" s="11"/>
      <c r="H17" s="11"/>
      <c r="I17" s="11"/>
    </row>
    <row r="18" spans="1:9" x14ac:dyDescent="0.2">
      <c r="A18" s="8">
        <v>0.59310185185185182</v>
      </c>
      <c r="B18" s="6">
        <v>10.460940000000001</v>
      </c>
      <c r="C18" s="10">
        <v>595</v>
      </c>
      <c r="D18" s="10" t="s">
        <v>34</v>
      </c>
      <c r="E18" s="10" t="s">
        <v>34</v>
      </c>
      <c r="F18" s="10" t="s">
        <v>34</v>
      </c>
      <c r="G18" s="11"/>
      <c r="H18" s="11"/>
      <c r="I18" s="11"/>
    </row>
    <row r="19" spans="1:9" x14ac:dyDescent="0.2">
      <c r="A19" s="8">
        <v>0.59311342592592597</v>
      </c>
      <c r="B19" s="6">
        <v>10.95703</v>
      </c>
      <c r="C19" s="10">
        <v>593</v>
      </c>
      <c r="D19" s="10" t="s">
        <v>34</v>
      </c>
      <c r="E19" s="10" t="s">
        <v>34</v>
      </c>
      <c r="F19" s="10" t="s">
        <v>34</v>
      </c>
      <c r="G19" s="11"/>
      <c r="H19" s="11"/>
      <c r="I19" s="11"/>
    </row>
    <row r="20" spans="1:9" x14ac:dyDescent="0.2">
      <c r="A20" s="8">
        <v>0.59311342592592597</v>
      </c>
      <c r="B20" s="6">
        <v>11.45703</v>
      </c>
      <c r="C20" s="10">
        <v>594</v>
      </c>
      <c r="D20" s="10" t="s">
        <v>34</v>
      </c>
      <c r="E20" s="9" t="s">
        <v>25</v>
      </c>
      <c r="F20" s="10" t="s">
        <v>34</v>
      </c>
      <c r="G20" s="11"/>
      <c r="H20" s="11"/>
      <c r="I20" s="11"/>
    </row>
    <row r="21" spans="1:9" x14ac:dyDescent="0.2">
      <c r="A21" s="8">
        <v>0.59312500000000001</v>
      </c>
      <c r="B21" s="6">
        <v>11.95703</v>
      </c>
      <c r="C21" s="10">
        <v>596</v>
      </c>
      <c r="D21" s="10" t="s">
        <v>34</v>
      </c>
      <c r="E21" s="10" t="s">
        <v>34</v>
      </c>
      <c r="F21" s="10" t="s">
        <v>34</v>
      </c>
      <c r="G21" s="11"/>
      <c r="H21" s="11"/>
      <c r="I21" s="11"/>
    </row>
    <row r="22" spans="1:9" x14ac:dyDescent="0.2">
      <c r="A22" s="10"/>
      <c r="C22" s="10"/>
      <c r="D22" s="10"/>
      <c r="E22" s="10"/>
      <c r="F22" s="10"/>
      <c r="G22" s="11"/>
      <c r="H22" s="11"/>
      <c r="I22" s="11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sheetPr codeName="工作表6"/>
  <dimension ref="A1:I21"/>
  <sheetViews>
    <sheetView workbookViewId="0">
      <selection activeCell="H3" sqref="H3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  <col min="8" max="8" width="9.140625" customWidth="1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0.59402777777777782</v>
      </c>
      <c r="B2" s="6">
        <v>1.792969</v>
      </c>
      <c r="C2" s="10">
        <v>624</v>
      </c>
      <c r="D2" s="10" t="s">
        <v>34</v>
      </c>
      <c r="E2" s="10" t="s">
        <v>34</v>
      </c>
      <c r="F2" s="10" t="s">
        <v>34</v>
      </c>
      <c r="G2" s="11"/>
      <c r="H2" s="11">
        <f>AVERAGE(C2:C21)</f>
        <v>625.95000000000005</v>
      </c>
      <c r="I2" s="11"/>
    </row>
    <row r="3" spans="1:9" x14ac:dyDescent="0.2">
      <c r="A3" s="8">
        <v>0.59402777777777782</v>
      </c>
      <c r="B3" s="6">
        <v>2.2617189999999998</v>
      </c>
      <c r="C3" s="10">
        <v>624</v>
      </c>
      <c r="D3" s="10" t="s">
        <v>34</v>
      </c>
      <c r="E3" s="10" t="s">
        <v>34</v>
      </c>
      <c r="F3" s="10" t="s">
        <v>34</v>
      </c>
      <c r="G3" s="11"/>
      <c r="H3" s="11">
        <f>33*(1023-H2)/H2</f>
        <v>20.932422717469443</v>
      </c>
      <c r="I3" s="11"/>
    </row>
    <row r="4" spans="1:9" x14ac:dyDescent="0.2">
      <c r="A4" s="8">
        <v>0.59403935185185186</v>
      </c>
      <c r="B4" s="6">
        <v>2.7539060000000002</v>
      </c>
      <c r="C4" s="10">
        <v>624</v>
      </c>
      <c r="D4" s="10" t="s">
        <v>34</v>
      </c>
      <c r="E4" s="10" t="s">
        <v>34</v>
      </c>
      <c r="F4" s="10" t="s">
        <v>34</v>
      </c>
      <c r="G4" s="11"/>
      <c r="H4" s="11"/>
      <c r="I4" s="11"/>
    </row>
    <row r="5" spans="1:9" x14ac:dyDescent="0.2">
      <c r="A5" s="8">
        <v>0.59403935185185186</v>
      </c>
      <c r="B5" s="6">
        <v>3.2851560000000002</v>
      </c>
      <c r="C5" s="10">
        <v>624</v>
      </c>
      <c r="D5" s="10" t="s">
        <v>35</v>
      </c>
      <c r="E5" s="9">
        <v>0.62</v>
      </c>
      <c r="F5" s="10" t="s">
        <v>36</v>
      </c>
      <c r="G5" s="11"/>
      <c r="H5" s="11"/>
      <c r="I5" s="11"/>
    </row>
    <row r="6" spans="1:9" x14ac:dyDescent="0.2">
      <c r="A6" s="8">
        <v>0.5940509259259259</v>
      </c>
      <c r="B6" s="6">
        <v>3.7890630000000001</v>
      </c>
      <c r="C6" s="10">
        <v>623</v>
      </c>
      <c r="D6" s="10" t="s">
        <v>34</v>
      </c>
      <c r="E6" s="10" t="s">
        <v>34</v>
      </c>
      <c r="F6" s="10" t="s">
        <v>34</v>
      </c>
      <c r="G6" s="11"/>
      <c r="H6" s="11"/>
      <c r="I6" s="11"/>
    </row>
    <row r="7" spans="1:9" x14ac:dyDescent="0.2">
      <c r="A7" s="8">
        <v>0.5940509259259259</v>
      </c>
      <c r="B7" s="6">
        <v>4.2890629999999996</v>
      </c>
      <c r="C7" s="10">
        <v>624</v>
      </c>
      <c r="D7" s="10" t="s">
        <v>34</v>
      </c>
      <c r="E7" s="10" t="s">
        <v>34</v>
      </c>
      <c r="F7" s="10" t="s">
        <v>34</v>
      </c>
      <c r="G7" s="11"/>
      <c r="H7" s="11"/>
      <c r="I7" s="11"/>
    </row>
    <row r="8" spans="1:9" x14ac:dyDescent="0.2">
      <c r="A8" s="8">
        <v>0.59406250000000005</v>
      </c>
      <c r="B8" s="6">
        <v>4.8046879999999996</v>
      </c>
      <c r="C8" s="10">
        <v>626</v>
      </c>
      <c r="D8" s="10" t="s">
        <v>34</v>
      </c>
      <c r="E8" s="10" t="s">
        <v>34</v>
      </c>
      <c r="F8" s="10" t="s">
        <v>34</v>
      </c>
      <c r="G8" s="11"/>
      <c r="H8" s="11"/>
      <c r="I8" s="11"/>
    </row>
    <row r="9" spans="1:9" x14ac:dyDescent="0.2">
      <c r="A9" s="8">
        <v>0.59406250000000005</v>
      </c>
      <c r="B9" s="6">
        <v>5.3046879999999996</v>
      </c>
      <c r="C9" s="10">
        <v>626</v>
      </c>
      <c r="D9" s="10" t="s">
        <v>34</v>
      </c>
      <c r="E9" s="10" t="s">
        <v>34</v>
      </c>
      <c r="F9" s="10" t="s">
        <v>34</v>
      </c>
      <c r="G9" s="11"/>
      <c r="H9" s="11"/>
      <c r="I9" s="11"/>
    </row>
    <row r="10" spans="1:9" x14ac:dyDescent="0.2">
      <c r="A10" s="8">
        <v>0.59407407407407409</v>
      </c>
      <c r="B10" s="6">
        <v>6.3203129999999996</v>
      </c>
      <c r="C10" s="10">
        <v>625</v>
      </c>
      <c r="D10" s="10" t="s">
        <v>37</v>
      </c>
      <c r="E10" s="9" t="s">
        <v>19</v>
      </c>
      <c r="F10" s="10">
        <v>-237</v>
      </c>
      <c r="G10" s="11"/>
      <c r="H10" s="11"/>
      <c r="I10" s="11"/>
    </row>
    <row r="11" spans="1:9" x14ac:dyDescent="0.2">
      <c r="A11" s="8">
        <v>0.59408564814814813</v>
      </c>
      <c r="B11" s="6">
        <v>6.8359379999999996</v>
      </c>
      <c r="C11" s="10">
        <v>626</v>
      </c>
      <c r="D11" s="10" t="s">
        <v>37</v>
      </c>
      <c r="E11" s="10" t="s">
        <v>37</v>
      </c>
      <c r="F11" s="10">
        <v>4112</v>
      </c>
      <c r="G11" s="11"/>
      <c r="H11" s="11"/>
      <c r="I11" s="11"/>
    </row>
    <row r="12" spans="1:9" x14ac:dyDescent="0.2">
      <c r="A12" s="8">
        <v>0.59409722222222228</v>
      </c>
      <c r="B12" s="6">
        <v>7.8828129999999996</v>
      </c>
      <c r="C12" s="10">
        <v>627</v>
      </c>
      <c r="D12" s="10" t="s">
        <v>37</v>
      </c>
      <c r="E12" s="10" t="s">
        <v>37</v>
      </c>
      <c r="F12" s="10">
        <v>-237</v>
      </c>
      <c r="G12" s="11"/>
      <c r="H12" s="11"/>
      <c r="I12" s="11"/>
    </row>
    <row r="13" spans="1:9" x14ac:dyDescent="0.2">
      <c r="A13" s="8">
        <v>0.59410879629629632</v>
      </c>
      <c r="B13" s="6">
        <v>8.3984380000000005</v>
      </c>
      <c r="C13" s="10">
        <v>626</v>
      </c>
      <c r="D13" s="10" t="s">
        <v>37</v>
      </c>
      <c r="E13" s="10" t="s">
        <v>37</v>
      </c>
      <c r="F13" s="10">
        <v>3088</v>
      </c>
      <c r="G13" s="11"/>
      <c r="H13" s="11"/>
      <c r="I13" s="11"/>
    </row>
    <row r="14" spans="1:9" x14ac:dyDescent="0.2">
      <c r="A14" s="8">
        <v>0.59410879629629632</v>
      </c>
      <c r="B14" s="6">
        <v>8.9453130000000005</v>
      </c>
      <c r="C14" s="10">
        <v>626</v>
      </c>
      <c r="D14" s="10" t="s">
        <v>35</v>
      </c>
      <c r="E14" s="9">
        <v>0.61</v>
      </c>
      <c r="F14" s="10" t="s">
        <v>36</v>
      </c>
      <c r="G14" s="11"/>
      <c r="H14" s="11"/>
      <c r="I14" s="11"/>
    </row>
    <row r="15" spans="1:9" x14ac:dyDescent="0.2">
      <c r="A15" s="8">
        <v>0.59412037037037035</v>
      </c>
      <c r="B15" s="6">
        <v>9.4609380000000005</v>
      </c>
      <c r="C15" s="10">
        <v>629</v>
      </c>
      <c r="D15" s="10" t="s">
        <v>34</v>
      </c>
      <c r="E15" s="9" t="s">
        <v>25</v>
      </c>
      <c r="F15" s="10" t="s">
        <v>34</v>
      </c>
      <c r="G15" s="11"/>
      <c r="H15" s="11"/>
      <c r="I15" s="11"/>
    </row>
    <row r="16" spans="1:9" x14ac:dyDescent="0.2">
      <c r="A16" s="8">
        <v>0.59412037037037035</v>
      </c>
      <c r="B16" s="6">
        <v>9.9609380000000005</v>
      </c>
      <c r="C16" s="10">
        <v>626</v>
      </c>
      <c r="D16" s="10" t="s">
        <v>34</v>
      </c>
      <c r="E16" s="10" t="s">
        <v>34</v>
      </c>
      <c r="F16" s="10" t="s">
        <v>34</v>
      </c>
      <c r="G16" s="11"/>
      <c r="H16" s="11"/>
      <c r="I16" s="11"/>
    </row>
    <row r="17" spans="1:9" x14ac:dyDescent="0.2">
      <c r="A17" s="8">
        <v>0.59413194444444439</v>
      </c>
      <c r="B17" s="6">
        <v>10.460940000000001</v>
      </c>
      <c r="C17" s="10">
        <v>627</v>
      </c>
      <c r="D17" s="10" t="s">
        <v>34</v>
      </c>
      <c r="E17" s="10" t="s">
        <v>34</v>
      </c>
      <c r="F17" s="10" t="s">
        <v>34</v>
      </c>
      <c r="G17" s="11"/>
      <c r="H17" s="11"/>
      <c r="I17" s="11"/>
    </row>
    <row r="18" spans="1:9" x14ac:dyDescent="0.2">
      <c r="A18" s="8">
        <v>0.59413194444444439</v>
      </c>
      <c r="B18" s="6">
        <v>10.960940000000001</v>
      </c>
      <c r="C18" s="10">
        <v>626</v>
      </c>
      <c r="D18" s="10" t="s">
        <v>34</v>
      </c>
      <c r="E18" s="10" t="s">
        <v>34</v>
      </c>
      <c r="F18" s="10" t="s">
        <v>34</v>
      </c>
      <c r="G18" s="11"/>
      <c r="H18" s="11"/>
      <c r="I18" s="11"/>
    </row>
    <row r="19" spans="1:9" x14ac:dyDescent="0.2">
      <c r="A19" s="8">
        <v>0.59414351851851854</v>
      </c>
      <c r="B19" s="6">
        <v>11.492190000000001</v>
      </c>
      <c r="C19" s="10">
        <v>628</v>
      </c>
      <c r="D19" s="10" t="s">
        <v>35</v>
      </c>
      <c r="E19" s="9">
        <v>0.61</v>
      </c>
      <c r="F19" s="10" t="s">
        <v>36</v>
      </c>
      <c r="G19" s="11"/>
      <c r="H19" s="11"/>
      <c r="I19" s="11"/>
    </row>
    <row r="20" spans="1:9" x14ac:dyDescent="0.2">
      <c r="A20" s="8">
        <v>0.59414351851851854</v>
      </c>
      <c r="B20" s="6">
        <v>12.007809999999999</v>
      </c>
      <c r="C20" s="10">
        <v>629</v>
      </c>
      <c r="D20" s="10" t="s">
        <v>34</v>
      </c>
      <c r="E20" s="9" t="s">
        <v>25</v>
      </c>
      <c r="F20" s="10" t="s">
        <v>34</v>
      </c>
      <c r="G20" s="11"/>
      <c r="H20" s="11"/>
      <c r="I20" s="11"/>
    </row>
    <row r="21" spans="1:9" x14ac:dyDescent="0.2">
      <c r="A21" s="8">
        <v>0.59415509259259258</v>
      </c>
      <c r="B21" s="6">
        <v>12.507809999999999</v>
      </c>
      <c r="C21" s="10">
        <v>629</v>
      </c>
      <c r="D21" s="10" t="s">
        <v>34</v>
      </c>
      <c r="E21" s="10" t="s">
        <v>34</v>
      </c>
      <c r="F21" s="10" t="s">
        <v>34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C74A-1B83-4146-942E-49CD75CE23B4}">
  <sheetPr codeName="工作表7"/>
  <dimension ref="A1:I22"/>
  <sheetViews>
    <sheetView workbookViewId="0">
      <selection activeCell="H18" sqref="H18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0.59553240740740743</v>
      </c>
      <c r="B2" s="6">
        <v>1.792969</v>
      </c>
      <c r="C2" s="10">
        <v>615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614.4</v>
      </c>
      <c r="I2" s="11"/>
    </row>
    <row r="3" spans="1:9" x14ac:dyDescent="0.2">
      <c r="A3" s="8">
        <v>0.59553240740740743</v>
      </c>
      <c r="B3" s="6">
        <v>2.2617189999999998</v>
      </c>
      <c r="C3" s="10">
        <v>612</v>
      </c>
      <c r="D3" s="10" t="s">
        <v>25</v>
      </c>
      <c r="E3" s="10" t="s">
        <v>25</v>
      </c>
      <c r="F3" s="10" t="s">
        <v>25</v>
      </c>
      <c r="G3" s="11"/>
      <c r="H3" s="11">
        <f>33*(1023-H2)/H2</f>
        <v>21.946289062500004</v>
      </c>
      <c r="I3" s="11"/>
    </row>
    <row r="4" spans="1:9" x14ac:dyDescent="0.2">
      <c r="A4" s="8">
        <v>0.59554398148148147</v>
      </c>
      <c r="B4" s="6">
        <v>2.7617189999999998</v>
      </c>
      <c r="C4" s="10">
        <v>616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0.59554398148148147</v>
      </c>
      <c r="B5" s="6">
        <v>3.2929689999999998</v>
      </c>
      <c r="C5" s="10">
        <v>612</v>
      </c>
      <c r="D5" s="10" t="s">
        <v>17</v>
      </c>
      <c r="E5" s="9">
        <v>0.62</v>
      </c>
      <c r="F5" s="10" t="s">
        <v>18</v>
      </c>
      <c r="G5" s="11"/>
      <c r="H5" s="11"/>
      <c r="I5" s="11"/>
    </row>
    <row r="6" spans="1:9" x14ac:dyDescent="0.2">
      <c r="A6" s="8">
        <v>0.5955555555555555</v>
      </c>
      <c r="B6" s="6">
        <v>3.8085939999999998</v>
      </c>
      <c r="C6" s="10">
        <v>615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0.59556712962962965</v>
      </c>
      <c r="B7" s="6">
        <v>4.3085940000000003</v>
      </c>
      <c r="C7" s="10">
        <v>613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0.59556712962962965</v>
      </c>
      <c r="B8" s="6">
        <v>4.8085940000000003</v>
      </c>
      <c r="C8" s="10">
        <v>616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0.59557870370370369</v>
      </c>
      <c r="B9" s="6">
        <v>5.3085940000000003</v>
      </c>
      <c r="C9" s="10">
        <v>614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0.59557870370370369</v>
      </c>
      <c r="B10" s="6">
        <v>5.8242190000000003</v>
      </c>
      <c r="C10" s="10">
        <v>614</v>
      </c>
      <c r="D10" s="10" t="s">
        <v>17</v>
      </c>
      <c r="E10" s="9">
        <v>0.62</v>
      </c>
      <c r="F10" s="10" t="s">
        <v>18</v>
      </c>
      <c r="G10" s="11"/>
      <c r="H10" s="11"/>
      <c r="I10" s="11"/>
    </row>
    <row r="11" spans="1:9" x14ac:dyDescent="0.2">
      <c r="A11" s="8">
        <v>0.59559027777777773</v>
      </c>
      <c r="B11" s="6">
        <v>6.3554690000000003</v>
      </c>
      <c r="C11" s="10">
        <v>613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0.59559027777777773</v>
      </c>
      <c r="B12" s="6">
        <v>6.8554690000000003</v>
      </c>
      <c r="C12" s="10">
        <v>615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0.59560185185185188</v>
      </c>
      <c r="B13" s="6">
        <v>7.3554690000000003</v>
      </c>
      <c r="C13" s="10">
        <v>616</v>
      </c>
      <c r="D13" s="10" t="s">
        <v>25</v>
      </c>
      <c r="E13" s="9" t="s">
        <v>25</v>
      </c>
      <c r="F13" s="10" t="s">
        <v>25</v>
      </c>
      <c r="G13" s="11"/>
      <c r="H13" s="11"/>
      <c r="I13" s="11"/>
    </row>
    <row r="14" spans="1:9" x14ac:dyDescent="0.2">
      <c r="A14" s="8">
        <v>0.59560185185185188</v>
      </c>
      <c r="B14" s="6">
        <v>7.8554690000000003</v>
      </c>
      <c r="C14" s="10">
        <v>615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0.59561342592592592</v>
      </c>
      <c r="B15" s="6">
        <v>8.3710939999999994</v>
      </c>
      <c r="C15" s="10">
        <v>615</v>
      </c>
      <c r="D15" s="10" t="s">
        <v>17</v>
      </c>
      <c r="E15" s="9">
        <v>0.62</v>
      </c>
      <c r="F15" s="10" t="s">
        <v>18</v>
      </c>
      <c r="G15" s="11"/>
      <c r="H15" s="11"/>
      <c r="I15" s="11"/>
    </row>
    <row r="16" spans="1:9" x14ac:dyDescent="0.2">
      <c r="A16" s="8">
        <v>0.59561342592592592</v>
      </c>
      <c r="B16" s="6">
        <v>8.8867189999999994</v>
      </c>
      <c r="C16" s="10">
        <v>615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0.59562499999999996</v>
      </c>
      <c r="B17" s="6">
        <v>9.3867189999999994</v>
      </c>
      <c r="C17" s="10">
        <v>615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0.59562499999999996</v>
      </c>
      <c r="B18" s="6">
        <v>9.8867189999999994</v>
      </c>
      <c r="C18" s="10">
        <v>613</v>
      </c>
      <c r="D18" s="10" t="s">
        <v>25</v>
      </c>
      <c r="E18" s="9" t="s">
        <v>25</v>
      </c>
      <c r="F18" s="10" t="s">
        <v>25</v>
      </c>
      <c r="G18" s="11"/>
      <c r="H18" s="11"/>
      <c r="I18" s="11"/>
    </row>
    <row r="19" spans="1:9" x14ac:dyDescent="0.2">
      <c r="A19" s="8">
        <v>0.59563657407407411</v>
      </c>
      <c r="B19" s="6">
        <v>10.38672</v>
      </c>
      <c r="C19" s="10">
        <v>615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0.59563657407407411</v>
      </c>
      <c r="B20" s="6">
        <v>10.91797</v>
      </c>
      <c r="C20" s="10">
        <v>614</v>
      </c>
      <c r="D20" s="10" t="s">
        <v>19</v>
      </c>
      <c r="E20" s="10" t="s">
        <v>19</v>
      </c>
      <c r="F20" s="10">
        <v>21</v>
      </c>
      <c r="G20" s="11"/>
      <c r="H20" s="11"/>
      <c r="I20" s="11"/>
    </row>
    <row r="21" spans="1:9" x14ac:dyDescent="0.2">
      <c r="A21" s="8">
        <v>0.59564814814814815</v>
      </c>
      <c r="B21" s="6">
        <v>11.429690000000001</v>
      </c>
      <c r="C21" s="10">
        <v>615</v>
      </c>
      <c r="D21" s="10" t="s">
        <v>19</v>
      </c>
      <c r="E21" s="10" t="s">
        <v>19</v>
      </c>
      <c r="F21" s="10">
        <v>4112</v>
      </c>
      <c r="G21" s="11"/>
      <c r="H21" s="11"/>
      <c r="I21" s="11"/>
    </row>
    <row r="22" spans="1:9" x14ac:dyDescent="0.2">
      <c r="A22" s="8"/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9DC35-DF02-4223-A257-3C440CB699D4}">
  <sheetPr codeName="工作表8"/>
  <dimension ref="A1:I22"/>
  <sheetViews>
    <sheetView workbookViewId="0">
      <selection activeCell="I4" sqref="I4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0.59674768518518517</v>
      </c>
      <c r="B2" s="6">
        <v>1.796875</v>
      </c>
      <c r="C2" s="10">
        <v>581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582.4</v>
      </c>
      <c r="I2" s="11"/>
    </row>
    <row r="3" spans="1:9" x14ac:dyDescent="0.2">
      <c r="A3" s="8">
        <v>0.59674768518518517</v>
      </c>
      <c r="B3" s="6">
        <v>2.265625</v>
      </c>
      <c r="C3" s="10">
        <v>581</v>
      </c>
      <c r="D3" s="10" t="s">
        <v>25</v>
      </c>
      <c r="E3" s="10" t="s">
        <v>25</v>
      </c>
      <c r="F3" s="10" t="s">
        <v>25</v>
      </c>
      <c r="G3" s="11"/>
      <c r="H3" s="11">
        <f>33*(1023-H2)/H2</f>
        <v>24.965315934065938</v>
      </c>
      <c r="I3" s="11"/>
    </row>
    <row r="4" spans="1:9" x14ac:dyDescent="0.2">
      <c r="A4" s="8">
        <v>0.59675925925925921</v>
      </c>
      <c r="B4" s="6">
        <v>2.765625</v>
      </c>
      <c r="C4" s="10">
        <v>580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0.59675925925925921</v>
      </c>
      <c r="B5" s="6">
        <v>3.296875</v>
      </c>
      <c r="C5" s="10">
        <v>582</v>
      </c>
      <c r="D5" s="10" t="s">
        <v>17</v>
      </c>
      <c r="E5" s="9">
        <v>0.63</v>
      </c>
      <c r="F5" s="10" t="s">
        <v>18</v>
      </c>
      <c r="G5" s="11"/>
      <c r="H5" s="11"/>
      <c r="I5" s="11"/>
    </row>
    <row r="6" spans="1:9" x14ac:dyDescent="0.2">
      <c r="A6" s="8">
        <v>0.59677083333333336</v>
      </c>
      <c r="B6" s="6">
        <v>3.8125</v>
      </c>
      <c r="C6" s="10">
        <v>582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0.59677083333333336</v>
      </c>
      <c r="B7" s="6">
        <v>4.3125</v>
      </c>
      <c r="C7" s="10">
        <v>581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0.5967824074074074</v>
      </c>
      <c r="B8" s="6">
        <v>4.8125</v>
      </c>
      <c r="C8" s="10">
        <v>582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0.5967824074074074</v>
      </c>
      <c r="B9" s="6">
        <v>5.3007809999999997</v>
      </c>
      <c r="C9" s="10">
        <v>582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0.59679398148148144</v>
      </c>
      <c r="B10" s="6">
        <v>5.8164059999999997</v>
      </c>
      <c r="C10" s="10">
        <v>581</v>
      </c>
      <c r="D10" s="10" t="s">
        <v>19</v>
      </c>
      <c r="E10" s="10" t="s">
        <v>19</v>
      </c>
      <c r="F10" s="10">
        <v>21</v>
      </c>
      <c r="G10" s="11"/>
      <c r="H10" s="11"/>
      <c r="I10" s="11"/>
    </row>
    <row r="11" spans="1:9" x14ac:dyDescent="0.2">
      <c r="A11" s="8">
        <v>0.59679398148148144</v>
      </c>
      <c r="B11" s="6">
        <v>6.3476559999999997</v>
      </c>
      <c r="C11" s="10">
        <v>584</v>
      </c>
      <c r="D11" s="10" t="s">
        <v>19</v>
      </c>
      <c r="E11" s="10" t="s">
        <v>19</v>
      </c>
      <c r="F11" s="10">
        <v>4112</v>
      </c>
      <c r="G11" s="11"/>
      <c r="H11" s="11"/>
      <c r="I11" s="11"/>
    </row>
    <row r="12" spans="1:9" x14ac:dyDescent="0.2">
      <c r="A12" s="8">
        <v>0.59680555555555559</v>
      </c>
      <c r="B12" s="6">
        <v>6.8632809999999997</v>
      </c>
      <c r="C12" s="10">
        <v>582</v>
      </c>
      <c r="D12" s="10" t="s">
        <v>19</v>
      </c>
      <c r="E12" s="10" t="s">
        <v>19</v>
      </c>
      <c r="F12" s="10">
        <v>3088</v>
      </c>
      <c r="G12" s="11"/>
      <c r="H12" s="11"/>
      <c r="I12" s="11"/>
    </row>
    <row r="13" spans="1:9" x14ac:dyDescent="0.2">
      <c r="A13" s="8">
        <v>0.59681712962962963</v>
      </c>
      <c r="B13" s="6">
        <v>7.4101559999999997</v>
      </c>
      <c r="C13" s="10">
        <v>583</v>
      </c>
      <c r="D13" s="10" t="s">
        <v>17</v>
      </c>
      <c r="E13" s="9">
        <v>0.63</v>
      </c>
      <c r="F13" s="10" t="s">
        <v>18</v>
      </c>
      <c r="G13" s="11"/>
      <c r="H13" s="11"/>
      <c r="I13" s="11"/>
    </row>
    <row r="14" spans="1:9" x14ac:dyDescent="0.2">
      <c r="A14" s="8">
        <v>0.59681712962962963</v>
      </c>
      <c r="B14" s="6">
        <v>7.9257809999999997</v>
      </c>
      <c r="C14" s="10">
        <v>584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0.59682870370370367</v>
      </c>
      <c r="B15" s="6">
        <v>8.4257810000000006</v>
      </c>
      <c r="C15" s="10">
        <v>584</v>
      </c>
      <c r="D15" s="10" t="s">
        <v>25</v>
      </c>
      <c r="E15" s="10" t="s">
        <v>25</v>
      </c>
      <c r="F15" s="10" t="s">
        <v>25</v>
      </c>
      <c r="G15" s="11"/>
      <c r="H15" s="11"/>
      <c r="I15" s="11"/>
    </row>
    <row r="16" spans="1:9" x14ac:dyDescent="0.2">
      <c r="A16" s="8">
        <v>0.59682870370370367</v>
      </c>
      <c r="B16" s="6">
        <v>8.9257810000000006</v>
      </c>
      <c r="C16" s="10">
        <v>584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0.59684027777777782</v>
      </c>
      <c r="B17" s="6">
        <v>9.4257810000000006</v>
      </c>
      <c r="C17" s="10">
        <v>583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0.59684027777777782</v>
      </c>
      <c r="B18" s="6">
        <v>9.9570310000000006</v>
      </c>
      <c r="C18" s="10">
        <v>584</v>
      </c>
      <c r="D18" s="10" t="s">
        <v>17</v>
      </c>
      <c r="E18" s="9">
        <v>0.63</v>
      </c>
      <c r="F18" s="10" t="s">
        <v>18</v>
      </c>
      <c r="G18" s="11"/>
      <c r="H18" s="11"/>
      <c r="I18" s="11"/>
    </row>
    <row r="19" spans="1:9" x14ac:dyDescent="0.2">
      <c r="A19" s="8">
        <v>0.59685185185185186</v>
      </c>
      <c r="B19" s="6">
        <v>10.472659999999999</v>
      </c>
      <c r="C19" s="10">
        <v>584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0.59685185185185186</v>
      </c>
      <c r="B20" s="6">
        <v>10.972659999999999</v>
      </c>
      <c r="C20" s="10">
        <v>582</v>
      </c>
      <c r="D20" s="10" t="s">
        <v>25</v>
      </c>
      <c r="E20" s="10" t="s">
        <v>25</v>
      </c>
      <c r="F20" s="10" t="s">
        <v>25</v>
      </c>
      <c r="G20" s="11"/>
      <c r="H20" s="11"/>
      <c r="I20" s="11"/>
    </row>
    <row r="21" spans="1:9" x14ac:dyDescent="0.2">
      <c r="A21" s="8">
        <v>0.59686342592592589</v>
      </c>
      <c r="B21" s="6">
        <v>11.476559999999999</v>
      </c>
      <c r="C21" s="10">
        <v>582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  <row r="22" spans="1:9" x14ac:dyDescent="0.2">
      <c r="A22" s="8"/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0C09F-9AFD-4F67-ACB6-A5D5BD5EF4D6}">
  <sheetPr codeName="工作表9"/>
  <dimension ref="A1:I24"/>
  <sheetViews>
    <sheetView workbookViewId="0">
      <selection activeCell="A24" sqref="A24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0.59781249999999997</v>
      </c>
      <c r="B2" s="6">
        <v>1.8046880000000001</v>
      </c>
      <c r="C2" s="10">
        <v>607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605.95000000000005</v>
      </c>
      <c r="I2" s="11"/>
    </row>
    <row r="3" spans="1:9" x14ac:dyDescent="0.2">
      <c r="A3" s="8">
        <v>0.59781249999999997</v>
      </c>
      <c r="B3" s="6">
        <v>2.2734380000000001</v>
      </c>
      <c r="C3" s="10">
        <v>607</v>
      </c>
      <c r="D3" s="10" t="s">
        <v>25</v>
      </c>
      <c r="E3" s="10" t="s">
        <v>25</v>
      </c>
      <c r="F3" s="10" t="s">
        <v>25</v>
      </c>
      <c r="G3" s="11"/>
      <c r="H3" s="11">
        <f>33*(1023-H2)/H2</f>
        <v>22.712517534450033</v>
      </c>
      <c r="I3" s="11"/>
    </row>
    <row r="4" spans="1:9" x14ac:dyDescent="0.2">
      <c r="A4" s="8">
        <v>0.59782407407407412</v>
      </c>
      <c r="B4" s="6">
        <v>2.7773439999999998</v>
      </c>
      <c r="C4" s="10">
        <v>606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0.59782407407407412</v>
      </c>
      <c r="B5" s="6">
        <v>3.2773439999999998</v>
      </c>
      <c r="C5" s="10">
        <v>605</v>
      </c>
      <c r="D5" s="10" t="s">
        <v>19</v>
      </c>
      <c r="E5" s="9" t="s">
        <v>19</v>
      </c>
      <c r="F5" s="10">
        <v>4112</v>
      </c>
      <c r="G5" s="11"/>
      <c r="H5" s="11"/>
      <c r="I5" s="11"/>
    </row>
    <row r="6" spans="1:9" x14ac:dyDescent="0.2">
      <c r="A6" s="8">
        <v>0.59783564814814816</v>
      </c>
      <c r="B6" s="6">
        <v>3.796875</v>
      </c>
      <c r="C6" s="10">
        <v>608</v>
      </c>
      <c r="D6" s="10" t="s">
        <v>19</v>
      </c>
      <c r="E6" s="10" t="s">
        <v>19</v>
      </c>
      <c r="F6" s="10">
        <v>4112</v>
      </c>
      <c r="G6" s="11"/>
      <c r="H6" s="11"/>
      <c r="I6" s="11"/>
    </row>
    <row r="7" spans="1:9" x14ac:dyDescent="0.2">
      <c r="A7" s="8">
        <v>0.59783564814814816</v>
      </c>
      <c r="B7" s="6">
        <v>4.3164059999999997</v>
      </c>
      <c r="C7" s="10">
        <v>605</v>
      </c>
      <c r="D7" s="10" t="s">
        <v>19</v>
      </c>
      <c r="E7" s="10" t="s">
        <v>19</v>
      </c>
      <c r="F7" s="10">
        <v>3088</v>
      </c>
      <c r="G7" s="11"/>
      <c r="H7" s="11"/>
      <c r="I7" s="11"/>
    </row>
    <row r="8" spans="1:9" x14ac:dyDescent="0.2">
      <c r="A8" s="8">
        <v>0.5978472222222222</v>
      </c>
      <c r="B8" s="6">
        <v>4.8398440000000003</v>
      </c>
      <c r="C8" s="10">
        <v>604</v>
      </c>
      <c r="D8" s="10" t="s">
        <v>19</v>
      </c>
      <c r="E8" s="10" t="s">
        <v>19</v>
      </c>
      <c r="F8" s="10">
        <v>3088</v>
      </c>
      <c r="G8" s="11"/>
      <c r="H8" s="11"/>
      <c r="I8" s="11"/>
    </row>
    <row r="9" spans="1:9" x14ac:dyDescent="0.2">
      <c r="A9" s="8">
        <v>0.5978472222222222</v>
      </c>
      <c r="B9" s="6">
        <v>5.359375</v>
      </c>
      <c r="C9" s="10">
        <v>605</v>
      </c>
      <c r="D9" s="10" t="s">
        <v>19</v>
      </c>
      <c r="E9" s="10" t="s">
        <v>19</v>
      </c>
      <c r="F9" s="10">
        <v>3088</v>
      </c>
      <c r="G9" s="11"/>
      <c r="H9" s="11"/>
      <c r="I9" s="11"/>
    </row>
    <row r="10" spans="1:9" x14ac:dyDescent="0.2">
      <c r="A10" s="8">
        <v>0.59785879629629635</v>
      </c>
      <c r="B10" s="6">
        <v>5.8789059999999997</v>
      </c>
      <c r="C10" s="10">
        <v>605</v>
      </c>
      <c r="D10" s="10" t="s">
        <v>19</v>
      </c>
      <c r="E10" s="10" t="s">
        <v>19</v>
      </c>
      <c r="F10" s="10">
        <v>4112</v>
      </c>
      <c r="G10" s="11"/>
      <c r="H10" s="11"/>
      <c r="I10" s="11"/>
    </row>
    <row r="11" spans="1:9" x14ac:dyDescent="0.2">
      <c r="A11" s="8">
        <v>0.59787037037037039</v>
      </c>
      <c r="B11" s="6">
        <v>6.4023440000000003</v>
      </c>
      <c r="C11" s="10">
        <v>607</v>
      </c>
      <c r="D11" s="10" t="s">
        <v>19</v>
      </c>
      <c r="E11" s="10" t="s">
        <v>19</v>
      </c>
      <c r="F11" s="10">
        <v>4112</v>
      </c>
      <c r="G11" s="11"/>
      <c r="H11" s="11"/>
      <c r="I11" s="11"/>
    </row>
    <row r="12" spans="1:9" x14ac:dyDescent="0.2">
      <c r="A12" s="8">
        <v>0.59787037037037039</v>
      </c>
      <c r="B12" s="6">
        <v>6.921875</v>
      </c>
      <c r="C12" s="10">
        <v>608</v>
      </c>
      <c r="D12" s="10" t="s">
        <v>19</v>
      </c>
      <c r="E12" s="10" t="s">
        <v>19</v>
      </c>
      <c r="F12" s="10">
        <v>4112</v>
      </c>
      <c r="G12" s="11"/>
      <c r="H12" s="11"/>
      <c r="I12" s="11"/>
    </row>
    <row r="13" spans="1:9" x14ac:dyDescent="0.2">
      <c r="A13" s="8">
        <v>0.59788194444444442</v>
      </c>
      <c r="B13" s="6">
        <v>7.4453129999999996</v>
      </c>
      <c r="C13" s="10">
        <v>607</v>
      </c>
      <c r="D13" s="10" t="s">
        <v>19</v>
      </c>
      <c r="E13" s="9" t="s">
        <v>19</v>
      </c>
      <c r="F13" s="10">
        <v>3088</v>
      </c>
      <c r="G13" s="11"/>
      <c r="H13" s="11"/>
      <c r="I13" s="11"/>
    </row>
    <row r="14" spans="1:9" x14ac:dyDescent="0.2">
      <c r="A14" s="8">
        <v>0.59788194444444442</v>
      </c>
      <c r="B14" s="6">
        <v>7.9648440000000003</v>
      </c>
      <c r="C14" s="10">
        <v>607</v>
      </c>
      <c r="D14" s="10" t="s">
        <v>19</v>
      </c>
      <c r="E14" s="10" t="s">
        <v>19</v>
      </c>
      <c r="F14" s="10">
        <v>4112</v>
      </c>
      <c r="G14" s="11"/>
      <c r="H14" s="11"/>
      <c r="I14" s="11"/>
    </row>
    <row r="15" spans="1:9" x14ac:dyDescent="0.2">
      <c r="A15" s="8">
        <v>0.59789351851851846</v>
      </c>
      <c r="B15" s="6">
        <v>8.484375</v>
      </c>
      <c r="C15" s="10">
        <v>607</v>
      </c>
      <c r="D15" s="10" t="s">
        <v>19</v>
      </c>
      <c r="E15" s="10" t="s">
        <v>19</v>
      </c>
      <c r="F15" s="10">
        <v>4112</v>
      </c>
      <c r="G15" s="11"/>
      <c r="H15" s="11"/>
      <c r="I15" s="11"/>
    </row>
    <row r="16" spans="1:9" x14ac:dyDescent="0.2">
      <c r="A16" s="8">
        <v>0.59789351851851846</v>
      </c>
      <c r="B16" s="6">
        <v>9.0078130000000005</v>
      </c>
      <c r="C16" s="10">
        <v>605</v>
      </c>
      <c r="D16" s="10" t="s">
        <v>19</v>
      </c>
      <c r="E16" s="10" t="s">
        <v>19</v>
      </c>
      <c r="F16" s="10">
        <v>3088</v>
      </c>
      <c r="G16" s="11"/>
      <c r="H16" s="11"/>
      <c r="I16" s="11"/>
    </row>
    <row r="17" spans="1:9" x14ac:dyDescent="0.2">
      <c r="A17" s="8">
        <v>0.59790509259259261</v>
      </c>
      <c r="B17" s="6">
        <v>9.5273439999999994</v>
      </c>
      <c r="C17" s="10">
        <v>606</v>
      </c>
      <c r="D17" s="10" t="s">
        <v>19</v>
      </c>
      <c r="E17" s="10" t="s">
        <v>19</v>
      </c>
      <c r="F17" s="10">
        <v>5136</v>
      </c>
      <c r="G17" s="11"/>
      <c r="H17" s="11"/>
      <c r="I17" s="11"/>
    </row>
    <row r="18" spans="1:9" x14ac:dyDescent="0.2">
      <c r="A18" s="8">
        <v>0.59790509259259261</v>
      </c>
      <c r="B18" s="6">
        <v>10.05078</v>
      </c>
      <c r="C18" s="10">
        <v>605</v>
      </c>
      <c r="D18" s="10" t="s">
        <v>19</v>
      </c>
      <c r="E18" s="10" t="s">
        <v>19</v>
      </c>
      <c r="F18" s="10">
        <v>3088</v>
      </c>
      <c r="G18" s="11"/>
      <c r="H18" s="11"/>
      <c r="I18" s="11"/>
    </row>
    <row r="19" spans="1:9" x14ac:dyDescent="0.2">
      <c r="A19" s="8">
        <v>0.59791666666666665</v>
      </c>
      <c r="B19" s="6">
        <v>10.570309999999999</v>
      </c>
      <c r="C19" s="10">
        <v>605</v>
      </c>
      <c r="D19" s="10" t="s">
        <v>19</v>
      </c>
      <c r="E19" s="10" t="s">
        <v>19</v>
      </c>
      <c r="F19" s="10">
        <v>4112</v>
      </c>
      <c r="G19" s="11"/>
      <c r="H19" s="11"/>
      <c r="I19" s="11"/>
    </row>
    <row r="20" spans="1:9" x14ac:dyDescent="0.2">
      <c r="A20" s="8">
        <v>0.59791666666666665</v>
      </c>
      <c r="B20" s="6">
        <v>11.089840000000001</v>
      </c>
      <c r="C20" s="10">
        <v>605</v>
      </c>
      <c r="D20" s="10" t="s">
        <v>19</v>
      </c>
      <c r="E20" s="10" t="s">
        <v>19</v>
      </c>
      <c r="F20" s="10">
        <v>4112</v>
      </c>
      <c r="G20" s="11"/>
      <c r="H20" s="11"/>
      <c r="I20" s="11"/>
    </row>
    <row r="21" spans="1:9" x14ac:dyDescent="0.2">
      <c r="A21" s="8">
        <v>0.59792824074074069</v>
      </c>
      <c r="B21" s="6">
        <v>11.60938</v>
      </c>
      <c r="C21" s="10">
        <v>605</v>
      </c>
      <c r="D21" s="10" t="s">
        <v>19</v>
      </c>
      <c r="E21" s="10" t="s">
        <v>19</v>
      </c>
      <c r="F21" s="10">
        <v>3088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10"/>
      <c r="C23" s="10"/>
      <c r="D23" s="10"/>
      <c r="E23" s="10"/>
      <c r="F23" s="10"/>
      <c r="G23" s="11"/>
      <c r="H23" s="11"/>
      <c r="I23" s="11"/>
    </row>
    <row r="24" spans="1:9" x14ac:dyDescent="0.2">
      <c r="A24" s="10"/>
      <c r="C24" s="10"/>
      <c r="D24" s="10"/>
      <c r="E24" s="10"/>
      <c r="F24" s="10"/>
      <c r="G24" s="11"/>
      <c r="H24" s="11"/>
      <c r="I24" s="11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sheetPr codeName="工作表10"/>
  <dimension ref="A1:I27"/>
  <sheetViews>
    <sheetView workbookViewId="0">
      <selection activeCell="J18" sqref="J18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0.59891203703703699</v>
      </c>
      <c r="B2" s="6">
        <v>1.808594</v>
      </c>
      <c r="C2" s="10">
        <v>624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619.54999999999995</v>
      </c>
      <c r="I2" s="11"/>
    </row>
    <row r="3" spans="1:9" x14ac:dyDescent="0.2">
      <c r="A3" s="8">
        <v>0.59891203703703699</v>
      </c>
      <c r="B3" s="6">
        <v>2.28125</v>
      </c>
      <c r="C3" s="10">
        <v>622</v>
      </c>
      <c r="D3" s="10" t="s">
        <v>25</v>
      </c>
      <c r="E3" s="10" t="s">
        <v>25</v>
      </c>
      <c r="F3" s="10" t="s">
        <v>25</v>
      </c>
      <c r="G3" s="11"/>
      <c r="H3" s="11">
        <f>33*(1023-H2)/H2</f>
        <v>21.489548866112507</v>
      </c>
      <c r="I3" s="11"/>
    </row>
    <row r="4" spans="1:9" x14ac:dyDescent="0.2">
      <c r="A4" s="8">
        <v>0.59891203703703699</v>
      </c>
      <c r="B4" s="6">
        <v>2.7773439999999998</v>
      </c>
      <c r="C4" s="10">
        <v>625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0.59892361111111114</v>
      </c>
      <c r="B5" s="6">
        <v>3.28125</v>
      </c>
      <c r="C5" s="10">
        <v>624</v>
      </c>
      <c r="D5" s="10" t="s">
        <v>19</v>
      </c>
      <c r="E5" s="9" t="s">
        <v>19</v>
      </c>
      <c r="F5" s="10">
        <v>5136</v>
      </c>
      <c r="G5" s="11"/>
      <c r="H5" s="11"/>
      <c r="I5" s="11"/>
    </row>
    <row r="6" spans="1:9" x14ac:dyDescent="0.2">
      <c r="A6" s="8">
        <v>0.59893518518518518</v>
      </c>
      <c r="B6" s="6">
        <v>3.8007810000000002</v>
      </c>
      <c r="C6" s="10">
        <v>624</v>
      </c>
      <c r="D6" s="10" t="s">
        <v>19</v>
      </c>
      <c r="E6" s="10" t="s">
        <v>19</v>
      </c>
      <c r="F6" s="10">
        <v>3088</v>
      </c>
      <c r="G6" s="11"/>
      <c r="H6" s="11"/>
      <c r="I6" s="11"/>
    </row>
    <row r="7" spans="1:9" x14ac:dyDescent="0.2">
      <c r="A7" s="8">
        <v>0.59893518518518518</v>
      </c>
      <c r="B7" s="6">
        <v>4.3203129999999996</v>
      </c>
      <c r="C7" s="10">
        <v>621</v>
      </c>
      <c r="D7" s="10" t="s">
        <v>19</v>
      </c>
      <c r="E7" s="10" t="s">
        <v>19</v>
      </c>
      <c r="F7" s="10">
        <v>4112</v>
      </c>
      <c r="G7" s="11"/>
      <c r="H7" s="11"/>
      <c r="I7" s="11"/>
    </row>
    <row r="8" spans="1:9" x14ac:dyDescent="0.2">
      <c r="A8" s="8">
        <v>0.59894675925925922</v>
      </c>
      <c r="B8" s="6">
        <v>4.84375</v>
      </c>
      <c r="C8" s="10">
        <v>619</v>
      </c>
      <c r="D8" s="10" t="s">
        <v>19</v>
      </c>
      <c r="E8" s="10" t="s">
        <v>19</v>
      </c>
      <c r="F8" s="10">
        <v>3088</v>
      </c>
      <c r="G8" s="11"/>
      <c r="H8" s="11"/>
      <c r="I8" s="11"/>
    </row>
    <row r="9" spans="1:9" x14ac:dyDescent="0.2">
      <c r="A9" s="8">
        <v>0.59894675925925922</v>
      </c>
      <c r="B9" s="6">
        <v>5.3632809999999997</v>
      </c>
      <c r="C9" s="10">
        <v>623</v>
      </c>
      <c r="D9" s="10" t="s">
        <v>19</v>
      </c>
      <c r="E9" s="10" t="s">
        <v>19</v>
      </c>
      <c r="F9" s="10">
        <v>4112</v>
      </c>
      <c r="G9" s="11"/>
      <c r="H9" s="11"/>
      <c r="I9" s="11"/>
    </row>
    <row r="10" spans="1:9" x14ac:dyDescent="0.2">
      <c r="A10" s="8">
        <v>0.59895833333333337</v>
      </c>
      <c r="B10" s="6">
        <v>5.8828129999999996</v>
      </c>
      <c r="C10" s="10">
        <v>618</v>
      </c>
      <c r="D10" s="10" t="s">
        <v>19</v>
      </c>
      <c r="E10" s="9" t="s">
        <v>19</v>
      </c>
      <c r="F10" s="10">
        <v>4112</v>
      </c>
      <c r="G10" s="11"/>
      <c r="H10" s="11"/>
      <c r="I10" s="11"/>
    </row>
    <row r="11" spans="1:9" x14ac:dyDescent="0.2">
      <c r="A11" s="8">
        <v>0.59896990740740741</v>
      </c>
      <c r="B11" s="6">
        <v>6.8359379999999996</v>
      </c>
      <c r="C11" s="10">
        <v>618</v>
      </c>
      <c r="D11" s="10" t="s">
        <v>19</v>
      </c>
      <c r="E11" s="10" t="s">
        <v>19</v>
      </c>
      <c r="F11" s="10">
        <v>3088</v>
      </c>
      <c r="G11" s="11"/>
      <c r="H11" s="11"/>
      <c r="I11" s="11"/>
    </row>
    <row r="12" spans="1:9" x14ac:dyDescent="0.2">
      <c r="A12" s="8">
        <v>0.59896990740740741</v>
      </c>
      <c r="B12" s="6">
        <v>6.9257809999999997</v>
      </c>
      <c r="C12" s="10">
        <v>619</v>
      </c>
      <c r="D12" s="10" t="s">
        <v>19</v>
      </c>
      <c r="E12" s="10" t="s">
        <v>19</v>
      </c>
      <c r="F12" s="10">
        <v>4112</v>
      </c>
      <c r="G12" s="11"/>
      <c r="H12" s="11"/>
      <c r="I12" s="11"/>
    </row>
    <row r="13" spans="1:9" x14ac:dyDescent="0.2">
      <c r="A13" s="8">
        <v>0.59896990740740741</v>
      </c>
      <c r="B13" s="6">
        <v>7.4492190000000003</v>
      </c>
      <c r="C13" s="10">
        <v>617</v>
      </c>
      <c r="D13" s="10" t="s">
        <v>19</v>
      </c>
      <c r="E13" s="10" t="s">
        <v>19</v>
      </c>
      <c r="F13" s="10">
        <v>3088</v>
      </c>
      <c r="G13" s="11"/>
      <c r="H13" s="11"/>
      <c r="I13" s="11"/>
    </row>
    <row r="14" spans="1:9" x14ac:dyDescent="0.2">
      <c r="A14" s="8">
        <v>0.59898148148148145</v>
      </c>
      <c r="B14" s="6">
        <v>7.96875</v>
      </c>
      <c r="C14" s="10">
        <v>616</v>
      </c>
      <c r="D14" s="10" t="s">
        <v>19</v>
      </c>
      <c r="E14" s="10" t="s">
        <v>19</v>
      </c>
      <c r="F14" s="10">
        <v>4112</v>
      </c>
      <c r="G14" s="11"/>
      <c r="H14" s="11"/>
      <c r="I14" s="11"/>
    </row>
    <row r="15" spans="1:9" x14ac:dyDescent="0.2">
      <c r="A15" s="8">
        <v>0.59898148148148145</v>
      </c>
      <c r="B15" s="6">
        <v>8.4882810000000006</v>
      </c>
      <c r="C15" s="10">
        <v>619</v>
      </c>
      <c r="D15" s="10" t="s">
        <v>19</v>
      </c>
      <c r="E15" s="9" t="s">
        <v>19</v>
      </c>
      <c r="F15" s="10">
        <v>3088</v>
      </c>
      <c r="G15" s="11"/>
      <c r="H15" s="11"/>
      <c r="I15" s="11"/>
    </row>
    <row r="16" spans="1:9" x14ac:dyDescent="0.2">
      <c r="A16" s="8">
        <v>0.5989930555555556</v>
      </c>
      <c r="B16" s="6">
        <v>9.0117189999999994</v>
      </c>
      <c r="C16" s="10">
        <v>616</v>
      </c>
      <c r="D16" s="10" t="s">
        <v>19</v>
      </c>
      <c r="E16" s="10" t="s">
        <v>19</v>
      </c>
      <c r="F16" s="10">
        <v>4112</v>
      </c>
      <c r="G16" s="11"/>
      <c r="H16" s="11"/>
      <c r="I16" s="11"/>
    </row>
    <row r="17" spans="1:9" x14ac:dyDescent="0.2">
      <c r="A17" s="8">
        <v>0.5989930555555556</v>
      </c>
      <c r="B17" s="6">
        <v>9.53125</v>
      </c>
      <c r="C17" s="10">
        <v>617</v>
      </c>
      <c r="D17" s="10" t="s">
        <v>19</v>
      </c>
      <c r="E17" s="10" t="s">
        <v>19</v>
      </c>
      <c r="F17" s="10">
        <v>3088</v>
      </c>
      <c r="G17" s="11"/>
      <c r="H17" s="11"/>
      <c r="I17" s="11"/>
    </row>
    <row r="18" spans="1:9" x14ac:dyDescent="0.2">
      <c r="A18" s="8">
        <v>0.59900462962962964</v>
      </c>
      <c r="B18" s="6">
        <v>10.054690000000001</v>
      </c>
      <c r="C18" s="10">
        <v>616</v>
      </c>
      <c r="D18" s="10" t="s">
        <v>19</v>
      </c>
      <c r="E18" s="10" t="s">
        <v>19</v>
      </c>
      <c r="F18" s="10">
        <v>3088</v>
      </c>
      <c r="G18" s="11"/>
      <c r="H18" s="11"/>
      <c r="I18" s="11"/>
    </row>
    <row r="19" spans="1:9" x14ac:dyDescent="0.2">
      <c r="A19" s="8">
        <v>0.59900462962962964</v>
      </c>
      <c r="B19" s="6">
        <v>10.570309999999999</v>
      </c>
      <c r="C19" s="10">
        <v>618</v>
      </c>
      <c r="D19" s="10" t="s">
        <v>19</v>
      </c>
      <c r="E19" s="10" t="s">
        <v>19</v>
      </c>
      <c r="F19" s="10">
        <v>4112</v>
      </c>
      <c r="G19" s="11"/>
      <c r="H19" s="11"/>
      <c r="I19" s="11"/>
    </row>
    <row r="20" spans="1:9" x14ac:dyDescent="0.2">
      <c r="A20" s="8">
        <v>0.59901620370370368</v>
      </c>
      <c r="B20" s="6">
        <v>11.09375</v>
      </c>
      <c r="C20" s="10">
        <v>615</v>
      </c>
      <c r="D20" s="10" t="s">
        <v>19</v>
      </c>
      <c r="E20" s="9" t="s">
        <v>19</v>
      </c>
      <c r="F20" s="10">
        <v>3088</v>
      </c>
      <c r="G20" s="11"/>
      <c r="H20" s="11"/>
      <c r="I20" s="11"/>
    </row>
    <row r="21" spans="1:9" x14ac:dyDescent="0.2">
      <c r="A21" s="8">
        <v>0.59901620370370368</v>
      </c>
      <c r="B21" s="6">
        <v>11.61328</v>
      </c>
      <c r="C21" s="10">
        <v>620</v>
      </c>
      <c r="D21" s="10" t="s">
        <v>19</v>
      </c>
      <c r="E21" s="10" t="s">
        <v>19</v>
      </c>
      <c r="F21" s="10">
        <v>4112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8"/>
      <c r="C23" s="10"/>
      <c r="D23" s="10"/>
      <c r="E23" s="10"/>
      <c r="F23" s="10"/>
      <c r="G23" s="11"/>
      <c r="H23" s="11"/>
      <c r="I23" s="11"/>
    </row>
    <row r="24" spans="1:9" x14ac:dyDescent="0.2">
      <c r="A24" s="10"/>
      <c r="C24" s="10"/>
      <c r="D24" s="10"/>
      <c r="E24" s="10"/>
      <c r="F24" s="10"/>
      <c r="G24" s="11"/>
      <c r="H24" s="11"/>
      <c r="I24" s="11"/>
    </row>
    <row r="25" spans="1:9" x14ac:dyDescent="0.2">
      <c r="A25" s="10"/>
      <c r="C25" s="10"/>
      <c r="D25" s="10"/>
      <c r="E25" s="10"/>
      <c r="F25" s="10"/>
      <c r="G25" s="11"/>
      <c r="H25" s="11"/>
      <c r="I25" s="11"/>
    </row>
    <row r="26" spans="1:9" x14ac:dyDescent="0.2">
      <c r="A26" s="10"/>
      <c r="C26" s="10"/>
      <c r="D26" s="10"/>
      <c r="E26" s="10"/>
      <c r="F26" s="10"/>
      <c r="G26" s="11"/>
      <c r="H26" s="11"/>
      <c r="I26" s="11"/>
    </row>
    <row r="27" spans="1:9" x14ac:dyDescent="0.2">
      <c r="A27" s="10"/>
      <c r="C27" s="10"/>
      <c r="D27" s="10"/>
      <c r="E27" s="10"/>
      <c r="F27" s="10"/>
      <c r="G27" s="11"/>
      <c r="H27" s="11"/>
      <c r="I27" s="11"/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sheetPr codeName="工作表11"/>
  <dimension ref="A1:I24"/>
  <sheetViews>
    <sheetView tabSelected="1" workbookViewId="0">
      <selection activeCell="F21" sqref="A2:F21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0.60826388888888894</v>
      </c>
      <c r="B2" s="6">
        <v>1.785156</v>
      </c>
      <c r="C2" s="10">
        <v>592</v>
      </c>
      <c r="D2" s="10" t="s">
        <v>34</v>
      </c>
      <c r="E2" s="10" t="s">
        <v>34</v>
      </c>
      <c r="F2" s="10" t="s">
        <v>34</v>
      </c>
      <c r="G2" s="11"/>
      <c r="H2" s="11">
        <f>AVERAGE(C2:C21)</f>
        <v>594</v>
      </c>
      <c r="I2" s="11"/>
    </row>
    <row r="3" spans="1:9" x14ac:dyDescent="0.2">
      <c r="A3" s="8">
        <v>0.60826388888888894</v>
      </c>
      <c r="B3" s="6">
        <v>2.25</v>
      </c>
      <c r="C3" s="10">
        <v>593</v>
      </c>
      <c r="D3" s="10" t="s">
        <v>34</v>
      </c>
      <c r="E3" s="10" t="s">
        <v>34</v>
      </c>
      <c r="F3" s="10" t="s">
        <v>34</v>
      </c>
      <c r="G3" s="11"/>
      <c r="H3" s="11">
        <f>33*(1023-H2)/H2</f>
        <v>23.833333333333332</v>
      </c>
      <c r="I3" s="11"/>
    </row>
    <row r="4" spans="1:9" x14ac:dyDescent="0.2">
      <c r="A4" s="8">
        <v>0.60827546296296298</v>
      </c>
      <c r="B4" s="6">
        <v>2.7539060000000002</v>
      </c>
      <c r="C4" s="10">
        <v>593</v>
      </c>
      <c r="D4" s="10" t="s">
        <v>34</v>
      </c>
      <c r="E4" s="10" t="s">
        <v>34</v>
      </c>
      <c r="F4" s="10" t="s">
        <v>34</v>
      </c>
      <c r="G4" s="11"/>
      <c r="H4" s="11"/>
      <c r="I4" s="11"/>
    </row>
    <row r="5" spans="1:9" x14ac:dyDescent="0.2">
      <c r="A5" s="8">
        <v>0.60827546296296298</v>
      </c>
      <c r="B5" s="6">
        <v>3.2773439999999998</v>
      </c>
      <c r="C5" s="10">
        <v>593</v>
      </c>
      <c r="D5" s="10" t="s">
        <v>40</v>
      </c>
      <c r="E5" s="9">
        <v>0.63</v>
      </c>
      <c r="F5" s="10" t="s">
        <v>18</v>
      </c>
      <c r="G5" s="11"/>
      <c r="H5" s="11"/>
      <c r="I5" s="11"/>
    </row>
    <row r="6" spans="1:9" x14ac:dyDescent="0.2">
      <c r="A6" s="8">
        <v>0.60828703703703701</v>
      </c>
      <c r="B6" s="6">
        <v>3.7929689999999998</v>
      </c>
      <c r="C6" s="10">
        <v>592</v>
      </c>
      <c r="D6" s="10" t="s">
        <v>34</v>
      </c>
      <c r="E6" s="10" t="s">
        <v>34</v>
      </c>
      <c r="F6" s="10" t="s">
        <v>25</v>
      </c>
      <c r="G6" s="11"/>
      <c r="H6" s="11"/>
      <c r="I6" s="11"/>
    </row>
    <row r="7" spans="1:9" x14ac:dyDescent="0.2">
      <c r="A7" s="8">
        <v>0.60828703703703701</v>
      </c>
      <c r="B7" s="6">
        <v>4.2929690000000003</v>
      </c>
      <c r="C7" s="10">
        <v>595</v>
      </c>
      <c r="D7" s="10" t="s">
        <v>34</v>
      </c>
      <c r="E7" s="10" t="s">
        <v>34</v>
      </c>
      <c r="F7" s="10" t="s">
        <v>25</v>
      </c>
      <c r="G7" s="11"/>
      <c r="H7" s="11"/>
      <c r="I7" s="11"/>
    </row>
    <row r="8" spans="1:9" x14ac:dyDescent="0.2">
      <c r="A8" s="8">
        <v>0.60829861111111116</v>
      </c>
      <c r="B8" s="6">
        <v>4.7929690000000003</v>
      </c>
      <c r="C8" s="10">
        <v>592</v>
      </c>
      <c r="D8" s="10" t="s">
        <v>34</v>
      </c>
      <c r="E8" s="9" t="s">
        <v>25</v>
      </c>
      <c r="F8" s="10" t="s">
        <v>34</v>
      </c>
      <c r="G8" s="11"/>
      <c r="H8" s="11"/>
      <c r="I8" s="11"/>
    </row>
    <row r="9" spans="1:9" x14ac:dyDescent="0.2">
      <c r="A9" s="8">
        <v>0.60829861111111116</v>
      </c>
      <c r="B9" s="6">
        <v>5.296875</v>
      </c>
      <c r="C9" s="10">
        <v>595</v>
      </c>
      <c r="D9" s="10" t="s">
        <v>34</v>
      </c>
      <c r="E9" s="10" t="s">
        <v>34</v>
      </c>
      <c r="F9" s="10" t="s">
        <v>34</v>
      </c>
      <c r="G9" s="11"/>
      <c r="H9" s="11"/>
      <c r="I9" s="11"/>
    </row>
    <row r="10" spans="1:9" x14ac:dyDescent="0.2">
      <c r="A10" s="8">
        <v>0.6083101851851852</v>
      </c>
      <c r="B10" s="6">
        <v>5.8242190000000003</v>
      </c>
      <c r="C10" s="10">
        <v>596</v>
      </c>
      <c r="D10" s="10" t="s">
        <v>40</v>
      </c>
      <c r="E10" s="9">
        <v>0.63</v>
      </c>
      <c r="F10" s="10" t="s">
        <v>36</v>
      </c>
      <c r="G10" s="11"/>
      <c r="H10" s="11"/>
      <c r="I10" s="11"/>
    </row>
    <row r="11" spans="1:9" x14ac:dyDescent="0.2">
      <c r="A11" s="8">
        <v>0.6083101851851852</v>
      </c>
      <c r="B11" s="6">
        <v>6.3398440000000003</v>
      </c>
      <c r="C11" s="10">
        <v>596</v>
      </c>
      <c r="D11" s="10" t="s">
        <v>34</v>
      </c>
      <c r="E11" s="10" t="s">
        <v>34</v>
      </c>
      <c r="F11" s="10" t="s">
        <v>34</v>
      </c>
      <c r="G11" s="11"/>
      <c r="H11" s="11"/>
      <c r="I11" s="11"/>
    </row>
    <row r="12" spans="1:9" x14ac:dyDescent="0.2">
      <c r="A12" s="8">
        <v>0.60832175925925924</v>
      </c>
      <c r="B12" s="6">
        <v>6.8398440000000003</v>
      </c>
      <c r="C12" s="10">
        <v>595</v>
      </c>
      <c r="D12" s="10" t="s">
        <v>34</v>
      </c>
      <c r="E12" s="10" t="s">
        <v>34</v>
      </c>
      <c r="F12" s="10" t="s">
        <v>34</v>
      </c>
      <c r="G12" s="11"/>
      <c r="H12" s="11"/>
      <c r="I12" s="11"/>
    </row>
    <row r="13" spans="1:9" x14ac:dyDescent="0.2">
      <c r="A13" s="8">
        <v>0.60832175925925924</v>
      </c>
      <c r="B13" s="6">
        <v>7.3359379999999996</v>
      </c>
      <c r="C13" s="10">
        <v>593</v>
      </c>
      <c r="D13" s="10" t="s">
        <v>34</v>
      </c>
      <c r="E13" s="9" t="s">
        <v>25</v>
      </c>
      <c r="F13" s="10" t="s">
        <v>34</v>
      </c>
      <c r="G13" s="11"/>
      <c r="H13" s="11"/>
      <c r="I13" s="11"/>
    </row>
    <row r="14" spans="1:9" x14ac:dyDescent="0.2">
      <c r="A14" s="8">
        <v>0.60833333333333328</v>
      </c>
      <c r="B14" s="6">
        <v>7.8398440000000003</v>
      </c>
      <c r="C14" s="10">
        <v>594</v>
      </c>
      <c r="D14" s="10" t="s">
        <v>34</v>
      </c>
      <c r="E14" s="10" t="s">
        <v>34</v>
      </c>
      <c r="F14" s="10" t="s">
        <v>34</v>
      </c>
      <c r="G14" s="11"/>
      <c r="H14" s="11"/>
      <c r="I14" s="11"/>
    </row>
    <row r="15" spans="1:9" x14ac:dyDescent="0.2">
      <c r="A15" s="8">
        <v>0.60834490740740743</v>
      </c>
      <c r="B15" s="6">
        <v>8.8632810000000006</v>
      </c>
      <c r="C15" s="10">
        <v>597</v>
      </c>
      <c r="D15" s="10" t="s">
        <v>37</v>
      </c>
      <c r="E15" s="10" t="s">
        <v>37</v>
      </c>
      <c r="F15" s="10">
        <v>-237</v>
      </c>
      <c r="G15" s="11"/>
      <c r="H15" s="11"/>
      <c r="I15" s="11"/>
    </row>
    <row r="16" spans="1:9" x14ac:dyDescent="0.2">
      <c r="A16" s="8">
        <v>0.60835648148148147</v>
      </c>
      <c r="B16" s="6">
        <v>9.3828130000000005</v>
      </c>
      <c r="C16" s="10">
        <v>592</v>
      </c>
      <c r="D16" s="10" t="s">
        <v>37</v>
      </c>
      <c r="E16" s="10" t="s">
        <v>37</v>
      </c>
      <c r="F16" s="10">
        <v>4112</v>
      </c>
      <c r="G16" s="11"/>
      <c r="H16" s="11"/>
      <c r="I16" s="11"/>
    </row>
    <row r="17" spans="1:9" x14ac:dyDescent="0.2">
      <c r="A17" s="8">
        <v>0.60835648148148147</v>
      </c>
      <c r="B17" s="6">
        <v>9.921875</v>
      </c>
      <c r="C17" s="10">
        <v>596</v>
      </c>
      <c r="D17" s="10" t="s">
        <v>40</v>
      </c>
      <c r="E17" s="9">
        <v>0.63</v>
      </c>
      <c r="F17" s="10" t="s">
        <v>36</v>
      </c>
      <c r="G17" s="11"/>
      <c r="H17" s="11"/>
      <c r="I17" s="11"/>
    </row>
    <row r="18" spans="1:9" x14ac:dyDescent="0.2">
      <c r="A18" s="8">
        <v>0.60836805555555551</v>
      </c>
      <c r="B18" s="6">
        <v>10.445309999999999</v>
      </c>
      <c r="C18" s="10">
        <v>593</v>
      </c>
      <c r="D18" s="10" t="s">
        <v>34</v>
      </c>
      <c r="E18" s="9" t="s">
        <v>25</v>
      </c>
      <c r="F18" s="10" t="s">
        <v>34</v>
      </c>
      <c r="G18" s="11"/>
      <c r="H18" s="11"/>
      <c r="I18" s="11"/>
    </row>
    <row r="19" spans="1:9" x14ac:dyDescent="0.2">
      <c r="A19" s="8">
        <v>0.60836805555555551</v>
      </c>
      <c r="B19" s="6">
        <v>10.941409999999999</v>
      </c>
      <c r="C19" s="10">
        <v>593</v>
      </c>
      <c r="D19" s="10" t="s">
        <v>34</v>
      </c>
      <c r="E19" s="10" t="s">
        <v>34</v>
      </c>
      <c r="F19" s="10" t="s">
        <v>34</v>
      </c>
      <c r="G19" s="11"/>
      <c r="H19" s="11"/>
      <c r="I19" s="11"/>
    </row>
    <row r="20" spans="1:9" x14ac:dyDescent="0.2">
      <c r="A20" s="8">
        <v>0.60837962962962966</v>
      </c>
      <c r="B20" s="6">
        <v>11.445309999999999</v>
      </c>
      <c r="C20" s="10">
        <v>595</v>
      </c>
      <c r="D20" s="10" t="s">
        <v>34</v>
      </c>
      <c r="E20" s="10" t="s">
        <v>34</v>
      </c>
      <c r="F20" s="10" t="s">
        <v>34</v>
      </c>
      <c r="G20" s="11"/>
      <c r="H20" s="11"/>
      <c r="I20" s="11"/>
    </row>
    <row r="21" spans="1:9" x14ac:dyDescent="0.2">
      <c r="A21" s="8">
        <v>0.60837962962962966</v>
      </c>
      <c r="B21" s="6">
        <v>11.945309999999999</v>
      </c>
      <c r="C21" s="10">
        <v>595</v>
      </c>
      <c r="D21" s="10" t="s">
        <v>34</v>
      </c>
      <c r="E21" s="10" t="s">
        <v>34</v>
      </c>
      <c r="F21" s="10" t="s">
        <v>34</v>
      </c>
      <c r="G21" s="11"/>
      <c r="H21" s="11"/>
      <c r="I21" s="11"/>
    </row>
    <row r="22" spans="1:9" x14ac:dyDescent="0.2">
      <c r="A22" s="8"/>
      <c r="C22" s="10"/>
      <c r="D22" s="10"/>
      <c r="E22" s="10"/>
      <c r="F22" s="10"/>
      <c r="G22" s="11"/>
      <c r="H22" s="11"/>
      <c r="I22" s="11"/>
    </row>
    <row r="23" spans="1:9" x14ac:dyDescent="0.2">
      <c r="A23" s="8"/>
      <c r="C23" s="10"/>
      <c r="D23" s="10"/>
      <c r="E23" s="9"/>
      <c r="F23" s="10"/>
      <c r="G23" s="11"/>
      <c r="H23" s="11"/>
      <c r="I23" s="11"/>
    </row>
    <row r="24" spans="1:9" x14ac:dyDescent="0.2">
      <c r="A24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sheetPr codeName="工作表12"/>
  <dimension ref="A1:I21"/>
  <sheetViews>
    <sheetView workbookViewId="0">
      <selection activeCell="H2" sqref="H2:H3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20</v>
      </c>
      <c r="B1" s="7" t="s">
        <v>21</v>
      </c>
      <c r="C1" s="5" t="s">
        <v>26</v>
      </c>
      <c r="D1" s="5" t="s">
        <v>22</v>
      </c>
      <c r="E1" s="5" t="s">
        <v>23</v>
      </c>
      <c r="F1" s="5" t="s">
        <v>24</v>
      </c>
    </row>
    <row r="2" spans="1:9" x14ac:dyDescent="0.2">
      <c r="A2" s="8">
        <v>0.60177083333333337</v>
      </c>
      <c r="B2" s="6">
        <v>1.8046880000000001</v>
      </c>
      <c r="C2" s="10">
        <v>602</v>
      </c>
      <c r="D2" s="10" t="s">
        <v>25</v>
      </c>
      <c r="E2" s="10" t="s">
        <v>25</v>
      </c>
      <c r="F2" s="10" t="s">
        <v>25</v>
      </c>
      <c r="G2" s="11"/>
      <c r="H2" s="11">
        <f>AVERAGE(C2:C21)</f>
        <v>601.15</v>
      </c>
      <c r="I2" s="11"/>
    </row>
    <row r="3" spans="1:9" x14ac:dyDescent="0.2">
      <c r="A3" s="8">
        <v>0.6017824074074074</v>
      </c>
      <c r="B3" s="6">
        <v>2.2734380000000001</v>
      </c>
      <c r="C3" s="10">
        <v>600</v>
      </c>
      <c r="D3" s="10" t="s">
        <v>25</v>
      </c>
      <c r="E3" s="10" t="s">
        <v>25</v>
      </c>
      <c r="F3" s="10" t="s">
        <v>25</v>
      </c>
      <c r="G3" s="11"/>
      <c r="H3" s="11">
        <f>33*(1023-H2)/H2</f>
        <v>23.157365050320223</v>
      </c>
      <c r="I3" s="11"/>
    </row>
    <row r="4" spans="1:9" x14ac:dyDescent="0.2">
      <c r="A4" s="8">
        <v>0.6017824074074074</v>
      </c>
      <c r="B4" s="6">
        <v>2.7773439999999998</v>
      </c>
      <c r="C4" s="10">
        <v>600</v>
      </c>
      <c r="D4" s="10" t="s">
        <v>25</v>
      </c>
      <c r="E4" s="10" t="s">
        <v>25</v>
      </c>
      <c r="F4" s="10" t="s">
        <v>25</v>
      </c>
      <c r="G4" s="11"/>
      <c r="H4" s="11"/>
      <c r="I4" s="11"/>
    </row>
    <row r="5" spans="1:9" x14ac:dyDescent="0.2">
      <c r="A5" s="8">
        <v>0.60179398148148144</v>
      </c>
      <c r="B5" s="6">
        <v>3.3007810000000002</v>
      </c>
      <c r="C5" s="10">
        <v>600</v>
      </c>
      <c r="D5" s="10" t="s">
        <v>33</v>
      </c>
      <c r="E5" s="9">
        <v>0.77</v>
      </c>
      <c r="F5" s="10" t="s">
        <v>18</v>
      </c>
      <c r="G5" s="11"/>
      <c r="H5" s="11"/>
      <c r="I5" s="11"/>
    </row>
    <row r="6" spans="1:9" x14ac:dyDescent="0.2">
      <c r="A6" s="8">
        <v>0.60179398148148144</v>
      </c>
      <c r="B6" s="6">
        <v>3.8164060000000002</v>
      </c>
      <c r="C6" s="10">
        <v>602</v>
      </c>
      <c r="D6" s="10" t="s">
        <v>25</v>
      </c>
      <c r="E6" s="10" t="s">
        <v>25</v>
      </c>
      <c r="F6" s="10" t="s">
        <v>25</v>
      </c>
      <c r="G6" s="11"/>
      <c r="H6" s="11"/>
      <c r="I6" s="11"/>
    </row>
    <row r="7" spans="1:9" x14ac:dyDescent="0.2">
      <c r="A7" s="8">
        <v>0.60180555555555559</v>
      </c>
      <c r="B7" s="6">
        <v>4.3164059999999997</v>
      </c>
      <c r="C7" s="10">
        <v>601</v>
      </c>
      <c r="D7" s="10" t="s">
        <v>25</v>
      </c>
      <c r="E7" s="10" t="s">
        <v>25</v>
      </c>
      <c r="F7" s="10" t="s">
        <v>25</v>
      </c>
      <c r="G7" s="11"/>
      <c r="H7" s="11"/>
      <c r="I7" s="11"/>
    </row>
    <row r="8" spans="1:9" x14ac:dyDescent="0.2">
      <c r="A8" s="8">
        <v>0.60180555555555559</v>
      </c>
      <c r="B8" s="6">
        <v>4.8164059999999997</v>
      </c>
      <c r="C8" s="10">
        <v>601</v>
      </c>
      <c r="D8" s="10" t="s">
        <v>25</v>
      </c>
      <c r="E8" s="10" t="s">
        <v>25</v>
      </c>
      <c r="F8" s="10" t="s">
        <v>25</v>
      </c>
      <c r="G8" s="11"/>
      <c r="H8" s="11"/>
      <c r="I8" s="11"/>
    </row>
    <row r="9" spans="1:9" x14ac:dyDescent="0.2">
      <c r="A9" s="8">
        <v>0.60181712962962963</v>
      </c>
      <c r="B9" s="6">
        <v>5.3164059999999997</v>
      </c>
      <c r="C9" s="10">
        <v>602</v>
      </c>
      <c r="D9" s="10" t="s">
        <v>25</v>
      </c>
      <c r="E9" s="10" t="s">
        <v>25</v>
      </c>
      <c r="F9" s="10" t="s">
        <v>25</v>
      </c>
      <c r="G9" s="11"/>
      <c r="H9" s="11"/>
      <c r="I9" s="11"/>
    </row>
    <row r="10" spans="1:9" x14ac:dyDescent="0.2">
      <c r="A10" s="8">
        <v>0.60181712962962963</v>
      </c>
      <c r="B10" s="6">
        <v>5.84375</v>
      </c>
      <c r="C10" s="10">
        <v>600</v>
      </c>
      <c r="D10" s="10" t="s">
        <v>33</v>
      </c>
      <c r="E10" s="9">
        <v>0.76</v>
      </c>
      <c r="F10" s="10" t="s">
        <v>18</v>
      </c>
      <c r="G10" s="11"/>
      <c r="H10" s="11"/>
      <c r="I10" s="11"/>
    </row>
    <row r="11" spans="1:9" x14ac:dyDescent="0.2">
      <c r="A11" s="8">
        <v>0.60182870370370367</v>
      </c>
      <c r="B11" s="6">
        <v>6.359375</v>
      </c>
      <c r="C11" s="10">
        <v>602</v>
      </c>
      <c r="D11" s="10" t="s">
        <v>25</v>
      </c>
      <c r="E11" s="10" t="s">
        <v>25</v>
      </c>
      <c r="F11" s="10" t="s">
        <v>25</v>
      </c>
      <c r="G11" s="11"/>
      <c r="H11" s="11"/>
      <c r="I11" s="11"/>
    </row>
    <row r="12" spans="1:9" x14ac:dyDescent="0.2">
      <c r="A12" s="8">
        <v>0.60182870370370367</v>
      </c>
      <c r="B12" s="6">
        <v>6.859375</v>
      </c>
      <c r="C12" s="10">
        <v>601</v>
      </c>
      <c r="D12" s="10" t="s">
        <v>25</v>
      </c>
      <c r="E12" s="10" t="s">
        <v>25</v>
      </c>
      <c r="F12" s="10" t="s">
        <v>25</v>
      </c>
      <c r="G12" s="11"/>
      <c r="H12" s="11"/>
      <c r="I12" s="11"/>
    </row>
    <row r="13" spans="1:9" x14ac:dyDescent="0.2">
      <c r="A13" s="8">
        <v>0.60184027777777782</v>
      </c>
      <c r="B13" s="6">
        <v>7.359375</v>
      </c>
      <c r="C13" s="10">
        <v>602</v>
      </c>
      <c r="D13" s="10" t="s">
        <v>25</v>
      </c>
      <c r="E13" s="10" t="s">
        <v>25</v>
      </c>
      <c r="F13" s="10" t="s">
        <v>25</v>
      </c>
      <c r="G13" s="11"/>
      <c r="H13" s="11"/>
      <c r="I13" s="11"/>
    </row>
    <row r="14" spans="1:9" x14ac:dyDescent="0.2">
      <c r="A14" s="8">
        <v>0.60184027777777782</v>
      </c>
      <c r="B14" s="6">
        <v>7.859375</v>
      </c>
      <c r="C14" s="10">
        <v>600</v>
      </c>
      <c r="D14" s="10" t="s">
        <v>25</v>
      </c>
      <c r="E14" s="10" t="s">
        <v>25</v>
      </c>
      <c r="F14" s="10" t="s">
        <v>25</v>
      </c>
      <c r="G14" s="11"/>
      <c r="H14" s="11"/>
      <c r="I14" s="11"/>
    </row>
    <row r="15" spans="1:9" x14ac:dyDescent="0.2">
      <c r="A15" s="8">
        <v>0.60185185185185186</v>
      </c>
      <c r="B15" s="6">
        <v>8.3867189999999994</v>
      </c>
      <c r="C15" s="10">
        <v>602</v>
      </c>
      <c r="D15" s="10" t="s">
        <v>33</v>
      </c>
      <c r="E15" s="9">
        <v>0.77</v>
      </c>
      <c r="F15" s="10" t="s">
        <v>18</v>
      </c>
      <c r="G15" s="11"/>
      <c r="H15" s="11"/>
      <c r="I15" s="11"/>
    </row>
    <row r="16" spans="1:9" x14ac:dyDescent="0.2">
      <c r="A16" s="8">
        <v>0.60185185185185186</v>
      </c>
      <c r="B16" s="6">
        <v>8.9023439999999994</v>
      </c>
      <c r="C16" s="10">
        <v>602</v>
      </c>
      <c r="D16" s="10" t="s">
        <v>25</v>
      </c>
      <c r="E16" s="10" t="s">
        <v>25</v>
      </c>
      <c r="F16" s="10" t="s">
        <v>25</v>
      </c>
      <c r="G16" s="11"/>
      <c r="H16" s="11"/>
      <c r="I16" s="11"/>
    </row>
    <row r="17" spans="1:9" x14ac:dyDescent="0.2">
      <c r="A17" s="8">
        <v>0.6018634259259259</v>
      </c>
      <c r="B17" s="6">
        <v>9.40625</v>
      </c>
      <c r="C17" s="10">
        <v>601</v>
      </c>
      <c r="D17" s="10" t="s">
        <v>25</v>
      </c>
      <c r="E17" s="10" t="s">
        <v>25</v>
      </c>
      <c r="F17" s="10" t="s">
        <v>25</v>
      </c>
      <c r="G17" s="11"/>
      <c r="H17" s="11"/>
      <c r="I17" s="11"/>
    </row>
    <row r="18" spans="1:9" x14ac:dyDescent="0.2">
      <c r="A18" s="8">
        <v>0.6018634259259259</v>
      </c>
      <c r="B18" s="6">
        <v>9.9140630000000005</v>
      </c>
      <c r="C18" s="10">
        <v>602</v>
      </c>
      <c r="D18" s="10" t="s">
        <v>25</v>
      </c>
      <c r="E18" s="10" t="s">
        <v>25</v>
      </c>
      <c r="F18" s="10" t="s">
        <v>25</v>
      </c>
      <c r="G18" s="11"/>
      <c r="H18" s="11"/>
      <c r="I18" s="11"/>
    </row>
    <row r="19" spans="1:9" x14ac:dyDescent="0.2">
      <c r="A19" s="8">
        <v>0.60187500000000005</v>
      </c>
      <c r="B19" s="6">
        <v>10.402340000000001</v>
      </c>
      <c r="C19" s="10">
        <v>601</v>
      </c>
      <c r="D19" s="10" t="s">
        <v>25</v>
      </c>
      <c r="E19" s="10" t="s">
        <v>25</v>
      </c>
      <c r="F19" s="10" t="s">
        <v>25</v>
      </c>
      <c r="G19" s="11"/>
      <c r="H19" s="11"/>
      <c r="I19" s="11"/>
    </row>
    <row r="20" spans="1:9" x14ac:dyDescent="0.2">
      <c r="A20" s="8">
        <v>0.60187500000000005</v>
      </c>
      <c r="B20" s="6">
        <v>10.929690000000001</v>
      </c>
      <c r="C20" s="10">
        <v>602</v>
      </c>
      <c r="D20" s="10" t="s">
        <v>33</v>
      </c>
      <c r="E20" s="9">
        <v>0.78</v>
      </c>
      <c r="F20" s="10" t="s">
        <v>18</v>
      </c>
      <c r="G20" s="11"/>
      <c r="H20" s="11"/>
      <c r="I20" s="11"/>
    </row>
    <row r="21" spans="1:9" x14ac:dyDescent="0.2">
      <c r="A21" s="8">
        <v>0.60188657407407409</v>
      </c>
      <c r="B21" s="6">
        <v>11.445309999999999</v>
      </c>
      <c r="C21" s="10">
        <v>600</v>
      </c>
      <c r="D21" s="10" t="s">
        <v>25</v>
      </c>
      <c r="E21" s="10" t="s">
        <v>25</v>
      </c>
      <c r="F21" s="10" t="s">
        <v>25</v>
      </c>
      <c r="G21" s="11"/>
      <c r="H21" s="11"/>
      <c r="I21" s="11"/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2498-707C-44CF-B176-F98A2E7CCDBA}">
  <dimension ref="H2:H3"/>
  <sheetViews>
    <sheetView workbookViewId="0">
      <selection activeCell="H3" sqref="H3"/>
    </sheetView>
  </sheetViews>
  <sheetFormatPr defaultRowHeight="12.75" x14ac:dyDescent="0.2"/>
  <sheetData>
    <row r="2" spans="8:8" x14ac:dyDescent="0.2">
      <c r="H2" s="11" t="e">
        <f>AVERAGE(C2:C21)</f>
        <v>#DIV/0!</v>
      </c>
    </row>
    <row r="3" spans="8:8" x14ac:dyDescent="0.2">
      <c r="H3" s="11" t="e">
        <f>91*(1023-H2)/H2</f>
        <v>#DIV/0!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ED9D5-DB94-4313-AF97-25E461648B79}">
  <dimension ref="H2:H3"/>
  <sheetViews>
    <sheetView workbookViewId="0">
      <selection activeCell="H3" sqref="H3"/>
    </sheetView>
  </sheetViews>
  <sheetFormatPr defaultRowHeight="12.75" x14ac:dyDescent="0.2"/>
  <sheetData>
    <row r="2" spans="8:8" x14ac:dyDescent="0.2">
      <c r="H2" s="11" t="e">
        <f>AVERAGE(C2:C21)</f>
        <v>#DIV/0!</v>
      </c>
    </row>
    <row r="3" spans="8:8" x14ac:dyDescent="0.2">
      <c r="H3" s="11" t="e">
        <f>91*(1023-H2)/H2</f>
        <v>#DIV/0!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CD1F6-4170-410D-B2E2-4084375398FE}">
  <dimension ref="H2:H3"/>
  <sheetViews>
    <sheetView workbookViewId="0">
      <selection activeCell="F5" sqref="F5"/>
    </sheetView>
  </sheetViews>
  <sheetFormatPr defaultRowHeight="12.75" x14ac:dyDescent="0.2"/>
  <sheetData>
    <row r="2" spans="8:8" x14ac:dyDescent="0.2">
      <c r="H2" s="11" t="e">
        <f>AVERAGE(C2:C21)</f>
        <v>#DIV/0!</v>
      </c>
    </row>
    <row r="3" spans="8:8" x14ac:dyDescent="0.2">
      <c r="H3" s="11" t="e">
        <f>91*(1023-H2)/H2</f>
        <v>#DIV/0!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0</v>
      </c>
      <c r="E6" s="15"/>
      <c r="F6" s="16"/>
    </row>
    <row r="7" spans="2:13" ht="12.75" customHeight="1" x14ac:dyDescent="0.2">
      <c r="B7" s="1" t="s">
        <v>6</v>
      </c>
      <c r="C7" s="2" t="b">
        <v>0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39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689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溫度</vt:lpstr>
      <vt:lpstr>40度空白</vt:lpstr>
      <vt:lpstr>60度空白</vt:lpstr>
      <vt:lpstr>紙杯 80度</vt:lpstr>
      <vt:lpstr>紙杯60度</vt:lpstr>
      <vt:lpstr>紙杯40度</vt:lpstr>
      <vt:lpstr>保麗龍球(大)80</vt:lpstr>
      <vt:lpstr>保麗龍球(大)60 </vt:lpstr>
      <vt:lpstr>保麗龍球(大)40</vt:lpstr>
      <vt:lpstr>保麗龍球(小)80</vt:lpstr>
      <vt:lpstr>保麗龍球(小)60</vt:lpstr>
      <vt:lpstr>保麗龍球(小)40</vt:lpstr>
      <vt:lpstr>A2</vt:lpstr>
      <vt:lpstr>A3</vt:lpstr>
      <vt:lpstr>A4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2026-09-17T06:37:38Z</dcterms:modified>
</cp:coreProperties>
</file>