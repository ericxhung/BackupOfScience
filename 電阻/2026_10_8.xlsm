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2A371E11-C583-44CB-B0D0-2D072F49E35E}" xr6:coauthVersionLast="47" xr6:coauthVersionMax="47" xr10:uidLastSave="{00000000-0000-0000-0000-000000000000}"/>
  <bookViews>
    <workbookView xWindow="-120" yWindow="-120" windowWidth="20730" windowHeight="11160" tabRatio="795" firstSheet="4" activeTab="7" xr2:uid="{00000000-000D-0000-FFFF-FFFF00000000}"/>
  </bookViews>
  <sheets>
    <sheet name="溫度" sheetId="36" r:id="rId1"/>
    <sheet name="空白" sheetId="37" r:id="rId2"/>
    <sheet name="降溫30" sheetId="38" r:id="rId3"/>
    <sheet name="降溫40" sheetId="39" r:id="rId4"/>
    <sheet name="降溫50" sheetId="40" r:id="rId5"/>
    <sheet name="降溫60" sheetId="41" r:id="rId6"/>
    <sheet name="降溫70" sheetId="42" r:id="rId7"/>
    <sheet name="降溫80" sheetId="44" r:id="rId8"/>
    <sheet name="升溫30" sheetId="43" r:id="rId9"/>
    <sheet name="升溫40" sheetId="45" r:id="rId10"/>
    <sheet name="升溫50" sheetId="46" r:id="rId11"/>
    <sheet name="升溫60" sheetId="47" r:id="rId12"/>
    <sheet name="升溫70" sheetId="48" r:id="rId13"/>
    <sheet name="升溫80" sheetId="49" r:id="rId14"/>
    <sheet name="A2" sheetId="50" r:id="rId15"/>
    <sheet name="A3" sheetId="51" r:id="rId16"/>
    <sheet name="A4" sheetId="52" r:id="rId17"/>
    <sheet name="B2" sheetId="53" r:id="rId18"/>
    <sheet name="B3" sheetId="54" r:id="rId19"/>
    <sheet name="B4" sheetId="55" r:id="rId20"/>
    <sheet name="PLXDAQ_new_Settings" sheetId="6" state="hidden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3" i="49" l="1"/>
  <c r="D23" i="41"/>
  <c r="D22" i="41"/>
  <c r="D23" i="43"/>
  <c r="D23" i="50"/>
  <c r="D23" i="55"/>
  <c r="D23" i="54"/>
  <c r="D23" i="53"/>
  <c r="D23" i="52"/>
  <c r="D23" i="51"/>
  <c r="D22" i="55"/>
  <c r="D22" i="54"/>
  <c r="D22" i="53"/>
  <c r="D22" i="51"/>
  <c r="D22" i="52"/>
  <c r="D22" i="50"/>
  <c r="D23" i="48"/>
  <c r="D23" i="47"/>
  <c r="D23" i="46"/>
  <c r="D23" i="45"/>
  <c r="D23" i="44"/>
  <c r="D23" i="42"/>
  <c r="D23" i="40"/>
  <c r="D23" i="39"/>
  <c r="D23" i="38"/>
  <c r="D22" i="49"/>
  <c r="D22" i="48"/>
  <c r="D22" i="47"/>
  <c r="D22" i="46"/>
  <c r="D22" i="45"/>
  <c r="D22" i="43"/>
  <c r="D22" i="44"/>
  <c r="D22" i="42"/>
  <c r="D22" i="40"/>
  <c r="D22" i="39"/>
  <c r="D22" i="38"/>
  <c r="D23" i="37"/>
  <c r="D22" i="37"/>
</calcChain>
</file>

<file path=xl/sharedStrings.xml><?xml version="1.0" encoding="utf-8"?>
<sst xmlns="http://schemas.openxmlformats.org/spreadsheetml/2006/main" count="1198" uniqueCount="43">
  <si>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</si>
  <si>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</si>
  <si>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</si>
  <si>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</si>
  <si>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</si>
  <si>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</si>
  <si>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</si>
  <si>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</si>
  <si>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</si>
  <si>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</si>
  <si>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</si>
  <si>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</si>
  <si>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</si>
  <si>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</si>
  <si>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</si>
  <si>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</si>
  <si>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</si>
  <si>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None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</si>
  <si>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</si>
  <si>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</si>
  <si>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</si>
  <si>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</si>
  <si>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</si>
  <si>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</si>
  <si>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</si>
  <si>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</si>
  <si>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Error</t>
    <phoneticPr fontId="4" type="noConversion"/>
  </si>
  <si>
    <t>27.00 C</t>
    <phoneticPr fontId="4" type="noConversion"/>
  </si>
  <si>
    <t>NULL</t>
  </si>
  <si>
    <t>Date</t>
  </si>
  <si>
    <t>Time</t>
  </si>
  <si>
    <t>Timer</t>
  </si>
  <si>
    <t>A0</t>
  </si>
  <si>
    <t>T</t>
  </si>
  <si>
    <t>H</t>
  </si>
  <si>
    <t>Error Code</t>
  </si>
  <si>
    <t>27.00 C</t>
  </si>
  <si>
    <t>26.00 C</t>
  </si>
  <si>
    <t>26.00 C</t>
    <phoneticPr fontId="4" type="noConversion"/>
  </si>
  <si>
    <t>NULL</t>
    <phoneticPr fontId="4" type="noConversion"/>
  </si>
  <si>
    <t>Error</t>
  </si>
  <si>
    <t>降溫60</t>
    <phoneticPr fontId="4" type="noConversion"/>
  </si>
  <si>
    <t>DATE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</si>
</sst>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/>
    <xf numFmtId="19" fontId="0" fillId="0" borderId="0" xfId="0" applyNumberFormat="1"/>
    <xf numFmtId="10" fontId="0" fillId="0" borderId="0" xfId="0" applyNumberFormat="1"/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sheetPr codeName="工作表1"/>
  <dimension ref="A1:G20"/>
  <sheetViews>
    <sheetView workbookViewId="0">
      <selection activeCell="F18" sqref="F18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7" x14ac:dyDescent="0.2">
      <c r="A1" s="5" t="s">
        <v>18</v>
      </c>
      <c r="B1" s="5" t="s">
        <v>19</v>
      </c>
      <c r="C1" s="7" t="s">
        <v>20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x14ac:dyDescent="0.2">
      <c r="A2" s="8">
        <v>46303</v>
      </c>
      <c r="B2" s="9">
        <v>0.55781250000000004</v>
      </c>
      <c r="C2" s="6">
        <v>1.792969</v>
      </c>
      <c r="D2" s="4">
        <v>2</v>
      </c>
      <c r="E2" s="4" t="s">
        <v>25</v>
      </c>
      <c r="F2" s="4" t="s">
        <v>25</v>
      </c>
      <c r="G2" s="4" t="s">
        <v>25</v>
      </c>
    </row>
    <row r="3" spans="1:7" x14ac:dyDescent="0.2">
      <c r="A3" s="8">
        <v>46303</v>
      </c>
      <c r="B3" s="9">
        <v>0.55781250000000004</v>
      </c>
      <c r="C3" s="6">
        <v>2.2617189999999998</v>
      </c>
      <c r="D3" s="4">
        <v>0</v>
      </c>
      <c r="E3" s="4" t="s">
        <v>25</v>
      </c>
      <c r="F3" s="4" t="s">
        <v>25</v>
      </c>
      <c r="G3" s="4" t="s">
        <v>25</v>
      </c>
    </row>
    <row r="4" spans="1:7" x14ac:dyDescent="0.2">
      <c r="A4" s="8">
        <v>46303</v>
      </c>
      <c r="B4" s="9">
        <v>0.55782407407407408</v>
      </c>
      <c r="C4" s="6">
        <v>2.7617189999999998</v>
      </c>
      <c r="D4" s="4">
        <v>1</v>
      </c>
      <c r="E4" s="4" t="s">
        <v>25</v>
      </c>
      <c r="F4" s="4" t="s">
        <v>25</v>
      </c>
      <c r="G4" s="4" t="s">
        <v>25</v>
      </c>
    </row>
    <row r="5" spans="1:7" x14ac:dyDescent="0.2">
      <c r="A5" s="8">
        <v>46303</v>
      </c>
      <c r="B5" s="9">
        <v>0.55782407407407408</v>
      </c>
      <c r="C5" s="6">
        <v>3.2929689999999998</v>
      </c>
      <c r="D5" s="4">
        <v>1</v>
      </c>
      <c r="E5" s="4" t="s">
        <v>27</v>
      </c>
      <c r="F5" s="10">
        <v>0.55000000000000004</v>
      </c>
      <c r="G5" s="4" t="s">
        <v>28</v>
      </c>
    </row>
    <row r="6" spans="1:7" x14ac:dyDescent="0.2">
      <c r="A6" s="8">
        <v>46303</v>
      </c>
      <c r="B6" s="9">
        <v>0.55783564814814812</v>
      </c>
      <c r="C6" s="6">
        <v>3.8085939999999998</v>
      </c>
      <c r="D6" s="4">
        <v>0</v>
      </c>
      <c r="E6" s="4" t="s">
        <v>25</v>
      </c>
      <c r="F6" s="4" t="s">
        <v>25</v>
      </c>
      <c r="G6" s="4" t="s">
        <v>17</v>
      </c>
    </row>
    <row r="7" spans="1:7" x14ac:dyDescent="0.2">
      <c r="A7" s="8">
        <v>46303</v>
      </c>
      <c r="B7" s="9">
        <v>0.55783564814814812</v>
      </c>
      <c r="C7" s="6">
        <v>4.3085940000000003</v>
      </c>
      <c r="D7" s="4">
        <v>1</v>
      </c>
      <c r="E7" s="4" t="s">
        <v>25</v>
      </c>
      <c r="F7" s="4" t="s">
        <v>25</v>
      </c>
      <c r="G7" s="4" t="s">
        <v>17</v>
      </c>
    </row>
    <row r="8" spans="1:7" x14ac:dyDescent="0.2">
      <c r="A8" s="8">
        <v>46303</v>
      </c>
      <c r="B8" s="9">
        <v>0.55784722222222227</v>
      </c>
      <c r="C8" s="6">
        <v>4.8085940000000003</v>
      </c>
      <c r="D8" s="4">
        <v>3</v>
      </c>
      <c r="E8" s="4" t="s">
        <v>25</v>
      </c>
      <c r="F8" s="4" t="s">
        <v>25</v>
      </c>
      <c r="G8" s="4" t="s">
        <v>17</v>
      </c>
    </row>
    <row r="9" spans="1:7" x14ac:dyDescent="0.2">
      <c r="A9" s="8">
        <v>46303</v>
      </c>
      <c r="B9" s="9">
        <v>0.55784722222222227</v>
      </c>
      <c r="C9" s="6">
        <v>5.3085940000000003</v>
      </c>
      <c r="D9" s="4">
        <v>0</v>
      </c>
      <c r="E9" s="4" t="s">
        <v>25</v>
      </c>
      <c r="F9" s="4" t="s">
        <v>25</v>
      </c>
      <c r="G9" s="4" t="s">
        <v>17</v>
      </c>
    </row>
    <row r="10" spans="1:7" x14ac:dyDescent="0.2">
      <c r="A10" s="8">
        <v>46303</v>
      </c>
      <c r="B10" s="9">
        <v>0.55785879629629631</v>
      </c>
      <c r="C10" s="6">
        <v>5.8398440000000003</v>
      </c>
      <c r="D10" s="4">
        <v>0</v>
      </c>
      <c r="E10" s="4" t="s">
        <v>27</v>
      </c>
      <c r="F10" s="10">
        <v>0.55000000000000004</v>
      </c>
      <c r="G10" s="4" t="s">
        <v>28</v>
      </c>
    </row>
    <row r="11" spans="1:7" x14ac:dyDescent="0.2">
      <c r="A11" s="8">
        <v>46303</v>
      </c>
      <c r="B11" s="9">
        <v>0.55785879629629631</v>
      </c>
      <c r="C11" s="6">
        <v>6.3554690000000003</v>
      </c>
      <c r="D11" s="4">
        <v>0</v>
      </c>
      <c r="E11" s="4" t="s">
        <v>25</v>
      </c>
      <c r="F11" s="4" t="s">
        <v>25</v>
      </c>
      <c r="G11" s="4" t="s">
        <v>17</v>
      </c>
    </row>
    <row r="12" spans="1:7" x14ac:dyDescent="0.2">
      <c r="A12" s="8">
        <v>46303</v>
      </c>
      <c r="B12" s="9">
        <v>0.55787037037037035</v>
      </c>
      <c r="C12" s="6">
        <v>6.8554690000000003</v>
      </c>
      <c r="D12" s="4">
        <v>0</v>
      </c>
      <c r="E12" s="4" t="s">
        <v>25</v>
      </c>
      <c r="F12" s="4" t="s">
        <v>25</v>
      </c>
      <c r="G12" s="4" t="s">
        <v>17</v>
      </c>
    </row>
    <row r="13" spans="1:7" x14ac:dyDescent="0.2">
      <c r="A13" s="8">
        <v>46303</v>
      </c>
      <c r="B13" s="9">
        <v>0.55787037037037035</v>
      </c>
      <c r="C13" s="6">
        <v>7.3554690000000003</v>
      </c>
      <c r="D13" s="4">
        <v>3</v>
      </c>
      <c r="E13" s="4" t="s">
        <v>25</v>
      </c>
      <c r="F13" s="4" t="s">
        <v>25</v>
      </c>
      <c r="G13" s="4" t="s">
        <v>17</v>
      </c>
    </row>
    <row r="14" spans="1:7" x14ac:dyDescent="0.2">
      <c r="A14" s="8">
        <v>46303</v>
      </c>
      <c r="B14" s="9">
        <v>0.5578819444444445</v>
      </c>
      <c r="C14" s="6">
        <v>7.8554690000000003</v>
      </c>
      <c r="D14" s="4">
        <v>1</v>
      </c>
      <c r="E14" s="4" t="s">
        <v>25</v>
      </c>
      <c r="F14" s="4" t="s">
        <v>25</v>
      </c>
      <c r="G14" s="4" t="s">
        <v>17</v>
      </c>
    </row>
    <row r="15" spans="1:7" x14ac:dyDescent="0.2">
      <c r="A15" s="8">
        <v>46303</v>
      </c>
      <c r="B15" s="9">
        <v>0.5578819444444445</v>
      </c>
      <c r="C15" s="6">
        <v>8.3710939999999994</v>
      </c>
      <c r="D15" s="4">
        <v>0</v>
      </c>
      <c r="E15" s="4" t="s">
        <v>26</v>
      </c>
      <c r="F15" s="4" t="s">
        <v>26</v>
      </c>
      <c r="G15" s="4">
        <v>21</v>
      </c>
    </row>
    <row r="16" spans="1:7" x14ac:dyDescent="0.2">
      <c r="A16" s="8">
        <v>46303</v>
      </c>
      <c r="B16" s="9">
        <v>0.55789351851851854</v>
      </c>
      <c r="C16" s="6">
        <v>8.9023439999999994</v>
      </c>
      <c r="D16" s="4">
        <v>0</v>
      </c>
      <c r="E16" s="4" t="s">
        <v>26</v>
      </c>
      <c r="F16" s="4" t="s">
        <v>26</v>
      </c>
      <c r="G16" s="4">
        <v>4112</v>
      </c>
    </row>
    <row r="17" spans="1:7" x14ac:dyDescent="0.2">
      <c r="A17" s="8">
        <v>46303</v>
      </c>
      <c r="B17" s="9">
        <v>0.55789351851851854</v>
      </c>
      <c r="C17" s="6">
        <v>9.4179689999999994</v>
      </c>
      <c r="D17" s="4">
        <v>0</v>
      </c>
      <c r="E17" s="4" t="s">
        <v>26</v>
      </c>
      <c r="F17" s="4" t="s">
        <v>26</v>
      </c>
      <c r="G17" s="4">
        <v>4112</v>
      </c>
    </row>
    <row r="18" spans="1:7" x14ac:dyDescent="0.2">
      <c r="A18" s="8">
        <v>46303</v>
      </c>
      <c r="B18" s="9">
        <v>0.55790509259259258</v>
      </c>
      <c r="C18" s="6">
        <v>9.9648439999999994</v>
      </c>
      <c r="D18" s="4">
        <v>0</v>
      </c>
      <c r="E18" s="4" t="s">
        <v>27</v>
      </c>
      <c r="F18" s="10">
        <v>0.54</v>
      </c>
      <c r="G18" s="4" t="s">
        <v>28</v>
      </c>
    </row>
    <row r="19" spans="1:7" x14ac:dyDescent="0.2">
      <c r="A19" s="8">
        <v>46303</v>
      </c>
      <c r="B19" s="9">
        <v>0.55790509259259258</v>
      </c>
      <c r="C19" s="6">
        <v>10.48047</v>
      </c>
      <c r="D19" s="4">
        <v>1</v>
      </c>
      <c r="E19" s="4" t="s">
        <v>25</v>
      </c>
      <c r="F19" s="4" t="s">
        <v>25</v>
      </c>
      <c r="G19" s="4" t="s">
        <v>17</v>
      </c>
    </row>
    <row r="20" spans="1:7" x14ac:dyDescent="0.2">
      <c r="A20" s="8">
        <v>46303</v>
      </c>
      <c r="B20" s="9">
        <v>0.55791666666666662</v>
      </c>
      <c r="C20" s="6">
        <v>10.98438</v>
      </c>
      <c r="D20" s="4">
        <v>0</v>
      </c>
      <c r="E20" s="4" t="s">
        <v>25</v>
      </c>
      <c r="F20" s="4" t="s">
        <v>25</v>
      </c>
      <c r="G20" s="4" t="s">
        <v>17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234F6-9DFE-433A-9EBF-9A5C280ED2CF}">
  <sheetPr codeName="工作表2"/>
  <dimension ref="A1:G23"/>
  <sheetViews>
    <sheetView workbookViewId="0">
      <selection activeCell="D23" sqref="D2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42</v>
      </c>
      <c r="B1" s="5" t="s">
        <v>19</v>
      </c>
      <c r="C1" s="7" t="s">
        <v>20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x14ac:dyDescent="0.2">
      <c r="A2" s="8">
        <v>46303</v>
      </c>
      <c r="B2" s="9">
        <v>0.56537037037037041</v>
      </c>
      <c r="C2" s="6">
        <v>1.808594</v>
      </c>
      <c r="D2" s="4">
        <v>580</v>
      </c>
      <c r="E2" s="4" t="s">
        <v>25</v>
      </c>
      <c r="F2" s="4" t="s">
        <v>25</v>
      </c>
      <c r="G2" s="4" t="s">
        <v>25</v>
      </c>
    </row>
    <row r="3" spans="1:7" x14ac:dyDescent="0.2">
      <c r="A3" s="8">
        <v>46303</v>
      </c>
      <c r="B3" s="9">
        <v>0.56537037037037041</v>
      </c>
      <c r="C3" s="6">
        <v>2.28125</v>
      </c>
      <c r="D3" s="4">
        <v>579</v>
      </c>
      <c r="E3" s="4" t="s">
        <v>25</v>
      </c>
      <c r="F3" s="4" t="s">
        <v>25</v>
      </c>
      <c r="G3" s="4" t="s">
        <v>25</v>
      </c>
    </row>
    <row r="4" spans="1:7" x14ac:dyDescent="0.2">
      <c r="A4" s="8">
        <v>46303</v>
      </c>
      <c r="B4" s="9">
        <v>0.56538194444444445</v>
      </c>
      <c r="C4" s="6">
        <v>2.78125</v>
      </c>
      <c r="D4" s="4">
        <v>579</v>
      </c>
      <c r="E4" s="4" t="s">
        <v>25</v>
      </c>
      <c r="F4" s="4" t="s">
        <v>25</v>
      </c>
      <c r="G4" s="4" t="s">
        <v>25</v>
      </c>
    </row>
    <row r="5" spans="1:7" x14ac:dyDescent="0.2">
      <c r="A5" s="8">
        <v>46303</v>
      </c>
      <c r="B5" s="9">
        <v>0.56538194444444445</v>
      </c>
      <c r="C5" s="6">
        <v>3.3085939999999998</v>
      </c>
      <c r="D5" s="4">
        <v>578</v>
      </c>
      <c r="E5" s="4" t="s">
        <v>38</v>
      </c>
      <c r="F5" s="10">
        <v>0.56000000000000005</v>
      </c>
      <c r="G5" s="4" t="s">
        <v>39</v>
      </c>
    </row>
    <row r="6" spans="1:7" x14ac:dyDescent="0.2">
      <c r="A6" s="8">
        <v>46303</v>
      </c>
      <c r="B6" s="9">
        <v>0.56539351851851849</v>
      </c>
      <c r="C6" s="6">
        <v>3.828125</v>
      </c>
      <c r="D6" s="4">
        <v>578</v>
      </c>
      <c r="E6" s="4" t="s">
        <v>25</v>
      </c>
      <c r="F6" s="4" t="s">
        <v>25</v>
      </c>
      <c r="G6" s="4" t="s">
        <v>25</v>
      </c>
    </row>
    <row r="7" spans="1:7" x14ac:dyDescent="0.2">
      <c r="A7" s="8">
        <v>46303</v>
      </c>
      <c r="B7" s="9">
        <v>0.56539351851851849</v>
      </c>
      <c r="C7" s="6">
        <v>4.328125</v>
      </c>
      <c r="D7" s="4">
        <v>575</v>
      </c>
      <c r="E7" s="4" t="s">
        <v>25</v>
      </c>
      <c r="F7" s="4" t="s">
        <v>25</v>
      </c>
      <c r="G7" s="4" t="s">
        <v>25</v>
      </c>
    </row>
    <row r="8" spans="1:7" x14ac:dyDescent="0.2">
      <c r="A8" s="8">
        <v>46303</v>
      </c>
      <c r="B8" s="9">
        <v>0.56540509259259264</v>
      </c>
      <c r="C8" s="6">
        <v>4.8242190000000003</v>
      </c>
      <c r="D8" s="4">
        <v>580</v>
      </c>
      <c r="E8" s="4" t="s">
        <v>25</v>
      </c>
      <c r="F8" s="4" t="s">
        <v>25</v>
      </c>
      <c r="G8" s="4" t="s">
        <v>25</v>
      </c>
    </row>
    <row r="9" spans="1:7" x14ac:dyDescent="0.2">
      <c r="A9" s="8">
        <v>46303</v>
      </c>
      <c r="B9" s="9">
        <v>0.56540509259259264</v>
      </c>
      <c r="C9" s="6">
        <v>5.3242190000000003</v>
      </c>
      <c r="D9" s="4">
        <v>580</v>
      </c>
      <c r="E9" s="4" t="s">
        <v>25</v>
      </c>
      <c r="F9" s="4" t="s">
        <v>25</v>
      </c>
      <c r="G9" s="4" t="s">
        <v>25</v>
      </c>
    </row>
    <row r="10" spans="1:7" x14ac:dyDescent="0.2">
      <c r="A10" s="8">
        <v>46303</v>
      </c>
      <c r="B10" s="9">
        <v>0.56541666666666668</v>
      </c>
      <c r="C10" s="6">
        <v>5.8398440000000003</v>
      </c>
      <c r="D10" s="4">
        <v>576</v>
      </c>
      <c r="E10" s="4" t="s">
        <v>38</v>
      </c>
      <c r="F10" s="10">
        <v>0.56000000000000005</v>
      </c>
      <c r="G10" s="4" t="s">
        <v>39</v>
      </c>
    </row>
    <row r="11" spans="1:7" x14ac:dyDescent="0.2">
      <c r="A11" s="8">
        <v>46303</v>
      </c>
      <c r="B11" s="9">
        <v>0.56541666666666668</v>
      </c>
      <c r="C11" s="6">
        <v>6.3710940000000003</v>
      </c>
      <c r="D11" s="4">
        <v>575</v>
      </c>
      <c r="E11" s="4" t="s">
        <v>25</v>
      </c>
      <c r="F11" s="4" t="s">
        <v>25</v>
      </c>
      <c r="G11" s="4" t="s">
        <v>25</v>
      </c>
    </row>
    <row r="12" spans="1:7" x14ac:dyDescent="0.2">
      <c r="A12" s="8">
        <v>46303</v>
      </c>
      <c r="B12" s="9">
        <v>0.56542824074074072</v>
      </c>
      <c r="C12" s="6">
        <v>6.8710940000000003</v>
      </c>
      <c r="D12" s="4">
        <v>578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0.56542824074074072</v>
      </c>
      <c r="C13" s="6">
        <v>7.3710940000000003</v>
      </c>
      <c r="D13" s="4">
        <v>577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0.56543981481481487</v>
      </c>
      <c r="C14" s="6">
        <v>7.8710940000000003</v>
      </c>
      <c r="D14" s="4">
        <v>579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0.56543981481481487</v>
      </c>
      <c r="C15" s="6">
        <v>8.3828130000000005</v>
      </c>
      <c r="D15" s="4">
        <v>575</v>
      </c>
      <c r="E15" s="4" t="s">
        <v>37</v>
      </c>
      <c r="F15" s="10">
        <v>0.56000000000000005</v>
      </c>
      <c r="G15" s="4" t="s">
        <v>28</v>
      </c>
    </row>
    <row r="16" spans="1:7" x14ac:dyDescent="0.2">
      <c r="A16" s="8">
        <v>46303</v>
      </c>
      <c r="B16" s="9">
        <v>0.56545138888888891</v>
      </c>
      <c r="C16" s="6">
        <v>8.9140630000000005</v>
      </c>
      <c r="D16" s="4">
        <v>576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0.56545138888888891</v>
      </c>
      <c r="C17" s="6">
        <v>9.4140630000000005</v>
      </c>
      <c r="D17" s="4">
        <v>574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0.56546296296296295</v>
      </c>
      <c r="C18" s="6">
        <v>9.9140630000000005</v>
      </c>
      <c r="D18" s="4">
        <v>574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0.56546296296296295</v>
      </c>
      <c r="C19" s="6">
        <v>10.414059999999999</v>
      </c>
      <c r="D19" s="4">
        <v>578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0.56547453703703698</v>
      </c>
      <c r="C20" s="6">
        <v>10.929690000000001</v>
      </c>
      <c r="D20" s="4">
        <v>577</v>
      </c>
      <c r="E20" s="4" t="s">
        <v>37</v>
      </c>
      <c r="F20" s="10">
        <v>0.56000000000000005</v>
      </c>
      <c r="G20" s="4" t="s">
        <v>28</v>
      </c>
    </row>
    <row r="21" spans="1:7" x14ac:dyDescent="0.2">
      <c r="A21" s="8">
        <v>46303</v>
      </c>
      <c r="B21" s="9">
        <v>0.56547453703703698</v>
      </c>
      <c r="C21" s="6">
        <v>11.460940000000001</v>
      </c>
      <c r="D21" s="4">
        <v>577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577.25</v>
      </c>
    </row>
    <row r="23" spans="1:7" x14ac:dyDescent="0.2">
      <c r="D23" s="4">
        <f>91*(1023-D22)/D22</f>
        <v>70.269813772195761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9BC8-8D30-4137-A39F-9CCAD8C1513F}">
  <sheetPr codeName="工作表3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0.56706018518518519</v>
      </c>
      <c r="C2" s="6">
        <v>1.8046880000000001</v>
      </c>
      <c r="D2" s="4">
        <v>644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0.56706018518518519</v>
      </c>
      <c r="C3" s="6">
        <v>2.2890630000000001</v>
      </c>
      <c r="D3" s="4">
        <v>645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0.56707175925925923</v>
      </c>
      <c r="C4" s="6">
        <v>2.7890630000000001</v>
      </c>
      <c r="D4" s="4">
        <v>642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0.56708333333333338</v>
      </c>
      <c r="C5" s="6">
        <v>3.8046880000000001</v>
      </c>
      <c r="D5" s="4">
        <v>646</v>
      </c>
      <c r="E5" s="4" t="s">
        <v>40</v>
      </c>
      <c r="F5" s="4" t="s">
        <v>40</v>
      </c>
      <c r="G5" s="4">
        <v>-237</v>
      </c>
    </row>
    <row r="6" spans="1:7" x14ac:dyDescent="0.2">
      <c r="A6" s="8">
        <v>46303</v>
      </c>
      <c r="B6" s="9">
        <v>0.56708333333333338</v>
      </c>
      <c r="C6" s="6">
        <v>4.3203129999999996</v>
      </c>
      <c r="D6" s="4">
        <v>641</v>
      </c>
      <c r="E6" s="4" t="s">
        <v>40</v>
      </c>
      <c r="F6" s="4" t="s">
        <v>40</v>
      </c>
      <c r="G6" s="4">
        <v>4112</v>
      </c>
    </row>
    <row r="7" spans="1:7" x14ac:dyDescent="0.2">
      <c r="A7" s="8">
        <v>46303</v>
      </c>
      <c r="B7" s="9">
        <v>0.56709490740740742</v>
      </c>
      <c r="C7" s="6">
        <v>4.8515629999999996</v>
      </c>
      <c r="D7" s="4">
        <v>641</v>
      </c>
      <c r="E7" s="4" t="s">
        <v>40</v>
      </c>
      <c r="F7" s="4" t="s">
        <v>40</v>
      </c>
      <c r="G7" s="4">
        <v>21</v>
      </c>
    </row>
    <row r="8" spans="1:7" x14ac:dyDescent="0.2">
      <c r="A8" s="8">
        <v>46303</v>
      </c>
      <c r="B8" s="9">
        <v>0.56709490740740742</v>
      </c>
      <c r="C8" s="6">
        <v>5.3867190000000003</v>
      </c>
      <c r="D8" s="4">
        <v>647</v>
      </c>
      <c r="E8" s="4" t="s">
        <v>40</v>
      </c>
      <c r="F8" s="4" t="s">
        <v>40</v>
      </c>
      <c r="G8" s="4">
        <v>4112</v>
      </c>
    </row>
    <row r="9" spans="1:7" x14ac:dyDescent="0.2">
      <c r="A9" s="8">
        <v>46303</v>
      </c>
      <c r="B9" s="9">
        <v>0.56710648148148146</v>
      </c>
      <c r="C9" s="6">
        <v>5.9179690000000003</v>
      </c>
      <c r="D9" s="4">
        <v>647</v>
      </c>
      <c r="E9" s="4" t="s">
        <v>40</v>
      </c>
      <c r="F9" s="4" t="s">
        <v>40</v>
      </c>
      <c r="G9" s="4">
        <v>4112</v>
      </c>
    </row>
    <row r="10" spans="1:7" x14ac:dyDescent="0.2">
      <c r="A10" s="8">
        <v>46303</v>
      </c>
      <c r="B10" s="9">
        <v>0.56710648148148146</v>
      </c>
      <c r="C10" s="6">
        <v>6.4453129999999996</v>
      </c>
      <c r="D10" s="4">
        <v>642</v>
      </c>
      <c r="E10" s="4" t="s">
        <v>36</v>
      </c>
      <c r="F10" s="10">
        <v>0.55000000000000004</v>
      </c>
      <c r="G10" s="4" t="s">
        <v>28</v>
      </c>
    </row>
    <row r="11" spans="1:7" x14ac:dyDescent="0.2">
      <c r="A11" s="8">
        <v>46303</v>
      </c>
      <c r="B11" s="9">
        <v>0.5671180555555555</v>
      </c>
      <c r="C11" s="6">
        <v>6.9648440000000003</v>
      </c>
      <c r="D11" s="4">
        <v>645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0.56712962962962965</v>
      </c>
      <c r="C12" s="6">
        <v>7.46875</v>
      </c>
      <c r="D12" s="4">
        <v>645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0.56712962962962965</v>
      </c>
      <c r="C13" s="6">
        <v>7.9765629999999996</v>
      </c>
      <c r="D13" s="4">
        <v>645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0.56714120370370369</v>
      </c>
      <c r="C14" s="6">
        <v>8.4765630000000005</v>
      </c>
      <c r="D14" s="4">
        <v>647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0.56714120370370369</v>
      </c>
      <c r="C15" s="6">
        <v>8.9921880000000005</v>
      </c>
      <c r="D15" s="4">
        <v>640</v>
      </c>
      <c r="E15" s="4" t="s">
        <v>36</v>
      </c>
      <c r="F15" s="10">
        <v>0.55000000000000004</v>
      </c>
      <c r="G15" s="4" t="s">
        <v>28</v>
      </c>
    </row>
    <row r="16" spans="1:7" x14ac:dyDescent="0.2">
      <c r="A16" s="8">
        <v>46303</v>
      </c>
      <c r="B16" s="9">
        <v>0.56715277777777773</v>
      </c>
      <c r="C16" s="6">
        <v>9.5078130000000005</v>
      </c>
      <c r="D16" s="4">
        <v>641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0.56715277777777773</v>
      </c>
      <c r="C17" s="6">
        <v>10.007809999999999</v>
      </c>
      <c r="D17" s="4">
        <v>647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0.56716435185185188</v>
      </c>
      <c r="C18" s="6">
        <v>10.507809999999999</v>
      </c>
      <c r="D18" s="4">
        <v>646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0.56716435185185188</v>
      </c>
      <c r="C19" s="6">
        <v>11.007809999999999</v>
      </c>
      <c r="D19" s="4">
        <v>645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0.56717592592592592</v>
      </c>
      <c r="C20" s="6">
        <v>11.539059999999999</v>
      </c>
      <c r="D20" s="4">
        <v>646</v>
      </c>
      <c r="E20" s="4" t="s">
        <v>36</v>
      </c>
      <c r="F20" s="10">
        <v>0.55000000000000004</v>
      </c>
      <c r="G20" s="4" t="s">
        <v>28</v>
      </c>
    </row>
    <row r="21" spans="1:7" x14ac:dyDescent="0.2">
      <c r="A21" s="8">
        <v>46303</v>
      </c>
      <c r="B21" s="9">
        <v>0.56717592592592592</v>
      </c>
      <c r="C21" s="6">
        <v>12.054690000000001</v>
      </c>
      <c r="D21" s="4">
        <v>641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644.15</v>
      </c>
    </row>
    <row r="23" spans="1:7" x14ac:dyDescent="0.2">
      <c r="D23" s="4">
        <f>91*(1023-D22)/D22</f>
        <v>53.520686175580224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FC15-D388-4EBA-A09C-CC0C280EC735}">
  <sheetPr codeName="工作表4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0.5682638888888889</v>
      </c>
      <c r="C2" s="6">
        <v>1.808594</v>
      </c>
      <c r="D2" s="4">
        <v>616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0.56827546296296294</v>
      </c>
      <c r="C3" s="6">
        <v>2.2929689999999998</v>
      </c>
      <c r="D3" s="4">
        <v>616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0.56827546296296294</v>
      </c>
      <c r="C4" s="6">
        <v>2.7929689999999998</v>
      </c>
      <c r="D4" s="4">
        <v>610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0.56828703703703709</v>
      </c>
      <c r="C5" s="6">
        <v>3.3085939999999998</v>
      </c>
      <c r="D5" s="4">
        <v>613</v>
      </c>
      <c r="E5" s="4" t="s">
        <v>36</v>
      </c>
      <c r="F5" s="10">
        <v>0.54</v>
      </c>
      <c r="G5" s="4" t="s">
        <v>28</v>
      </c>
    </row>
    <row r="6" spans="1:7" x14ac:dyDescent="0.2">
      <c r="A6" s="8">
        <v>46303</v>
      </c>
      <c r="B6" s="9">
        <v>0.56828703703703709</v>
      </c>
      <c r="C6" s="6">
        <v>3.8203130000000001</v>
      </c>
      <c r="D6" s="4">
        <v>609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0.56829861111111113</v>
      </c>
      <c r="C7" s="6">
        <v>4.3203129999999996</v>
      </c>
      <c r="D7" s="4">
        <v>614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0.56829861111111113</v>
      </c>
      <c r="C8" s="6">
        <v>4.8203129999999996</v>
      </c>
      <c r="D8" s="4">
        <v>616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0.56831018518518517</v>
      </c>
      <c r="C9" s="6">
        <v>5.3203129999999996</v>
      </c>
      <c r="D9" s="4">
        <v>615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0.56832175925925921</v>
      </c>
      <c r="C10" s="6">
        <v>5.8398440000000003</v>
      </c>
      <c r="D10" s="4">
        <v>615</v>
      </c>
      <c r="E10" s="4" t="s">
        <v>40</v>
      </c>
      <c r="F10" s="4" t="s">
        <v>40</v>
      </c>
      <c r="G10" s="4">
        <v>21</v>
      </c>
    </row>
    <row r="11" spans="1:7" x14ac:dyDescent="0.2">
      <c r="A11" s="8">
        <v>46303</v>
      </c>
      <c r="B11" s="9">
        <v>0.56832175925925921</v>
      </c>
      <c r="C11" s="6">
        <v>6.3710940000000003</v>
      </c>
      <c r="D11" s="4">
        <v>610</v>
      </c>
      <c r="E11" s="4" t="s">
        <v>40</v>
      </c>
      <c r="F11" s="4" t="s">
        <v>40</v>
      </c>
      <c r="G11" s="4">
        <v>4112</v>
      </c>
    </row>
    <row r="12" spans="1:7" x14ac:dyDescent="0.2">
      <c r="A12" s="8">
        <v>46303</v>
      </c>
      <c r="B12" s="9">
        <v>0.56833333333333336</v>
      </c>
      <c r="C12" s="6">
        <v>6.8867190000000003</v>
      </c>
      <c r="D12" s="4">
        <v>611</v>
      </c>
      <c r="E12" s="4" t="s">
        <v>40</v>
      </c>
      <c r="F12" s="4" t="s">
        <v>40</v>
      </c>
      <c r="G12" s="4">
        <v>4112</v>
      </c>
    </row>
    <row r="13" spans="1:7" x14ac:dyDescent="0.2">
      <c r="A13" s="8">
        <v>46303</v>
      </c>
      <c r="B13" s="9">
        <v>0.56833333333333336</v>
      </c>
      <c r="C13" s="6">
        <v>7.4257809999999997</v>
      </c>
      <c r="D13" s="4">
        <v>611</v>
      </c>
      <c r="E13" s="4" t="s">
        <v>36</v>
      </c>
      <c r="F13" s="10">
        <v>0.54</v>
      </c>
      <c r="G13" s="4" t="s">
        <v>28</v>
      </c>
    </row>
    <row r="14" spans="1:7" x14ac:dyDescent="0.2">
      <c r="A14" s="8">
        <v>46303</v>
      </c>
      <c r="B14" s="9">
        <v>0.5683449074074074</v>
      </c>
      <c r="C14" s="6">
        <v>7.9570309999999997</v>
      </c>
      <c r="D14" s="4">
        <v>615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0.5683449074074074</v>
      </c>
      <c r="C15" s="6">
        <v>8.4570310000000006</v>
      </c>
      <c r="D15" s="4">
        <v>608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0.56835648148148143</v>
      </c>
      <c r="C16" s="6">
        <v>8.9492189999999994</v>
      </c>
      <c r="D16" s="4">
        <v>613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0.56835648148148143</v>
      </c>
      <c r="C17" s="6">
        <v>9.4453130000000005</v>
      </c>
      <c r="D17" s="4">
        <v>612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0.56836805555555558</v>
      </c>
      <c r="C18" s="6">
        <v>9.9609380000000005</v>
      </c>
      <c r="D18" s="4">
        <v>615</v>
      </c>
      <c r="E18" s="4" t="s">
        <v>40</v>
      </c>
      <c r="F18" s="4" t="s">
        <v>40</v>
      </c>
      <c r="G18" s="4">
        <v>21</v>
      </c>
    </row>
    <row r="19" spans="1:7" x14ac:dyDescent="0.2">
      <c r="A19" s="8">
        <v>46303</v>
      </c>
      <c r="B19" s="9">
        <v>0.56836805555555558</v>
      </c>
      <c r="C19" s="6">
        <v>10.492190000000001</v>
      </c>
      <c r="D19" s="4">
        <v>616</v>
      </c>
      <c r="E19" s="4" t="s">
        <v>40</v>
      </c>
      <c r="F19" s="4" t="s">
        <v>40</v>
      </c>
      <c r="G19" s="4">
        <v>4112</v>
      </c>
    </row>
    <row r="20" spans="1:7" x14ac:dyDescent="0.2">
      <c r="A20" s="8">
        <v>46303</v>
      </c>
      <c r="B20" s="9">
        <v>0.56837962962962962</v>
      </c>
      <c r="C20" s="6">
        <v>11.023440000000001</v>
      </c>
      <c r="D20" s="4">
        <v>613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0.56837962962962962</v>
      </c>
      <c r="C21" s="6">
        <v>11.554690000000001</v>
      </c>
      <c r="D21" s="4">
        <v>615</v>
      </c>
      <c r="E21" s="4" t="s">
        <v>36</v>
      </c>
      <c r="F21" s="10">
        <v>0.54</v>
      </c>
      <c r="G21" s="4" t="s">
        <v>28</v>
      </c>
    </row>
    <row r="22" spans="1:7" x14ac:dyDescent="0.2">
      <c r="D22" s="4">
        <f>AVERAGE(D2:D21)</f>
        <v>613.15</v>
      </c>
    </row>
    <row r="23" spans="1:7" x14ac:dyDescent="0.2">
      <c r="D23" s="4">
        <f>91*(1023-D22)/D22</f>
        <v>60.827448422082689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8A3D-FDB7-4517-B85F-5DC470B77C42}">
  <sheetPr codeName="工作表5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7" x14ac:dyDescent="0.2">
      <c r="A1" s="5" t="s">
        <v>18</v>
      </c>
      <c r="B1" s="5" t="s">
        <v>19</v>
      </c>
      <c r="C1" s="7" t="s">
        <v>20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x14ac:dyDescent="0.2">
      <c r="A2" s="8">
        <v>46303</v>
      </c>
      <c r="B2" s="9">
        <v>0.56981481481481477</v>
      </c>
      <c r="C2" s="6">
        <v>1.796875</v>
      </c>
      <c r="D2" s="4">
        <v>620</v>
      </c>
      <c r="E2" s="4" t="s">
        <v>25</v>
      </c>
      <c r="F2" s="4" t="s">
        <v>25</v>
      </c>
      <c r="G2" s="4" t="s">
        <v>25</v>
      </c>
    </row>
    <row r="3" spans="1:7" x14ac:dyDescent="0.2">
      <c r="A3" s="8">
        <v>46303</v>
      </c>
      <c r="B3" s="9">
        <v>0.56981481481481477</v>
      </c>
      <c r="C3" s="6">
        <v>2.28125</v>
      </c>
      <c r="D3" s="4">
        <v>624</v>
      </c>
      <c r="E3" s="4" t="s">
        <v>25</v>
      </c>
      <c r="F3" s="4" t="s">
        <v>25</v>
      </c>
      <c r="G3" s="4" t="s">
        <v>25</v>
      </c>
    </row>
    <row r="4" spans="1:7" x14ac:dyDescent="0.2">
      <c r="A4" s="8">
        <v>46303</v>
      </c>
      <c r="B4" s="9">
        <v>0.56982638888888892</v>
      </c>
      <c r="C4" s="6">
        <v>2.78125</v>
      </c>
      <c r="D4" s="4">
        <v>624</v>
      </c>
      <c r="E4" s="4" t="s">
        <v>25</v>
      </c>
      <c r="F4" s="4" t="s">
        <v>25</v>
      </c>
      <c r="G4" s="4" t="s">
        <v>25</v>
      </c>
    </row>
    <row r="5" spans="1:7" x14ac:dyDescent="0.2">
      <c r="A5" s="8">
        <v>46303</v>
      </c>
      <c r="B5" s="9">
        <v>0.56982638888888892</v>
      </c>
      <c r="C5" s="6">
        <v>3.296875</v>
      </c>
      <c r="D5" s="4">
        <v>621</v>
      </c>
      <c r="E5" s="4" t="s">
        <v>27</v>
      </c>
      <c r="F5" s="10">
        <v>0.56000000000000005</v>
      </c>
      <c r="G5" s="4" t="s">
        <v>39</v>
      </c>
    </row>
    <row r="6" spans="1:7" x14ac:dyDescent="0.2">
      <c r="A6" s="8">
        <v>46303</v>
      </c>
      <c r="B6" s="9">
        <v>0.56983796296296296</v>
      </c>
      <c r="C6" s="6">
        <v>3.8125</v>
      </c>
      <c r="D6" s="4">
        <v>625</v>
      </c>
      <c r="E6" s="4" t="s">
        <v>25</v>
      </c>
      <c r="F6" s="4" t="s">
        <v>25</v>
      </c>
      <c r="G6" s="4" t="s">
        <v>25</v>
      </c>
    </row>
    <row r="7" spans="1:7" x14ac:dyDescent="0.2">
      <c r="A7" s="8">
        <v>46303</v>
      </c>
      <c r="B7" s="9">
        <v>0.56983796296296296</v>
      </c>
      <c r="C7" s="6">
        <v>4.3125</v>
      </c>
      <c r="D7" s="4">
        <v>624</v>
      </c>
      <c r="E7" s="4" t="s">
        <v>25</v>
      </c>
      <c r="F7" s="4" t="s">
        <v>25</v>
      </c>
      <c r="G7" s="4" t="s">
        <v>25</v>
      </c>
    </row>
    <row r="8" spans="1:7" x14ac:dyDescent="0.2">
      <c r="A8" s="8">
        <v>46303</v>
      </c>
      <c r="B8" s="9">
        <v>0.569849537037037</v>
      </c>
      <c r="C8" s="6">
        <v>4.828125</v>
      </c>
      <c r="D8" s="4">
        <v>621</v>
      </c>
      <c r="E8" s="4" t="s">
        <v>25</v>
      </c>
      <c r="F8" s="4" t="s">
        <v>25</v>
      </c>
      <c r="G8" s="4" t="s">
        <v>25</v>
      </c>
    </row>
    <row r="9" spans="1:7" x14ac:dyDescent="0.2">
      <c r="A9" s="8">
        <v>46303</v>
      </c>
      <c r="B9" s="9">
        <v>0.569849537037037</v>
      </c>
      <c r="C9" s="6">
        <v>5.3125</v>
      </c>
      <c r="D9" s="4">
        <v>622</v>
      </c>
      <c r="E9" s="4" t="s">
        <v>25</v>
      </c>
      <c r="F9" s="4" t="s">
        <v>25</v>
      </c>
      <c r="G9" s="4" t="s">
        <v>25</v>
      </c>
    </row>
    <row r="10" spans="1:7" x14ac:dyDescent="0.2">
      <c r="A10" s="8">
        <v>46303</v>
      </c>
      <c r="B10" s="9">
        <v>0.56986111111111115</v>
      </c>
      <c r="C10" s="6">
        <v>5.84375</v>
      </c>
      <c r="D10" s="4">
        <v>625</v>
      </c>
      <c r="E10" s="4" t="s">
        <v>27</v>
      </c>
      <c r="F10" s="10">
        <v>0.56000000000000005</v>
      </c>
      <c r="G10" s="4" t="s">
        <v>28</v>
      </c>
    </row>
    <row r="11" spans="1:7" x14ac:dyDescent="0.2">
      <c r="A11" s="8">
        <v>46303</v>
      </c>
      <c r="B11" s="9">
        <v>0.56986111111111115</v>
      </c>
      <c r="C11" s="6">
        <v>6.359375</v>
      </c>
      <c r="D11" s="4">
        <v>621</v>
      </c>
      <c r="E11" s="4" t="s">
        <v>25</v>
      </c>
      <c r="F11" s="4" t="s">
        <v>25</v>
      </c>
      <c r="G11" s="4" t="s">
        <v>17</v>
      </c>
    </row>
    <row r="12" spans="1:7" x14ac:dyDescent="0.2">
      <c r="A12" s="8">
        <v>46303</v>
      </c>
      <c r="B12" s="9">
        <v>0.56987268518518519</v>
      </c>
      <c r="C12" s="6">
        <v>6.859375</v>
      </c>
      <c r="D12" s="4">
        <v>624</v>
      </c>
      <c r="E12" s="4" t="s">
        <v>25</v>
      </c>
      <c r="F12" s="4" t="s">
        <v>25</v>
      </c>
      <c r="G12" s="4" t="s">
        <v>17</v>
      </c>
    </row>
    <row r="13" spans="1:7" x14ac:dyDescent="0.2">
      <c r="A13" s="8">
        <v>46303</v>
      </c>
      <c r="B13" s="9">
        <v>0.56987268518518519</v>
      </c>
      <c r="C13" s="6">
        <v>7.359375</v>
      </c>
      <c r="D13" s="4">
        <v>621</v>
      </c>
      <c r="E13" s="4" t="s">
        <v>25</v>
      </c>
      <c r="F13" s="4" t="s">
        <v>25</v>
      </c>
      <c r="G13" s="4" t="s">
        <v>17</v>
      </c>
    </row>
    <row r="14" spans="1:7" x14ac:dyDescent="0.2">
      <c r="A14" s="8">
        <v>46303</v>
      </c>
      <c r="B14" s="9">
        <v>0.56988425925925923</v>
      </c>
      <c r="C14" s="6">
        <v>7.859375</v>
      </c>
      <c r="D14" s="4">
        <v>625</v>
      </c>
      <c r="E14" s="4" t="s">
        <v>25</v>
      </c>
      <c r="F14" s="4" t="s">
        <v>25</v>
      </c>
      <c r="G14" s="4" t="s">
        <v>17</v>
      </c>
    </row>
    <row r="15" spans="1:7" x14ac:dyDescent="0.2">
      <c r="A15" s="8">
        <v>46303</v>
      </c>
      <c r="B15" s="9">
        <v>0.56989583333333338</v>
      </c>
      <c r="C15" s="6">
        <v>8.875</v>
      </c>
      <c r="D15" s="4">
        <v>623</v>
      </c>
      <c r="E15" s="4" t="s">
        <v>26</v>
      </c>
      <c r="F15" s="4" t="s">
        <v>26</v>
      </c>
      <c r="G15" s="4">
        <v>-237</v>
      </c>
    </row>
    <row r="16" spans="1:7" x14ac:dyDescent="0.2">
      <c r="A16" s="8">
        <v>46303</v>
      </c>
      <c r="B16" s="9">
        <v>0.56989583333333338</v>
      </c>
      <c r="C16" s="6">
        <v>9.40625</v>
      </c>
      <c r="D16" s="4">
        <v>620</v>
      </c>
      <c r="E16" s="4" t="s">
        <v>26</v>
      </c>
      <c r="F16" s="4" t="s">
        <v>26</v>
      </c>
      <c r="G16" s="4">
        <v>4112</v>
      </c>
    </row>
    <row r="17" spans="1:7" x14ac:dyDescent="0.2">
      <c r="A17" s="8">
        <v>46303</v>
      </c>
      <c r="B17" s="9">
        <v>0.56990740740740742</v>
      </c>
      <c r="C17" s="6">
        <v>10.4375</v>
      </c>
      <c r="D17" s="4">
        <v>625</v>
      </c>
      <c r="E17" s="4" t="s">
        <v>26</v>
      </c>
      <c r="F17" s="4" t="s">
        <v>26</v>
      </c>
      <c r="G17" s="4">
        <v>-237</v>
      </c>
    </row>
    <row r="18" spans="1:7" x14ac:dyDescent="0.2">
      <c r="A18" s="8">
        <v>46303</v>
      </c>
      <c r="B18" s="9">
        <v>0.56991898148148146</v>
      </c>
      <c r="C18" s="6">
        <v>10.96875</v>
      </c>
      <c r="D18" s="4">
        <v>622</v>
      </c>
      <c r="E18" s="4" t="s">
        <v>26</v>
      </c>
      <c r="F18" s="4" t="s">
        <v>26</v>
      </c>
      <c r="G18" s="4">
        <v>3088</v>
      </c>
    </row>
    <row r="19" spans="1:7" x14ac:dyDescent="0.2">
      <c r="A19" s="8">
        <v>46303</v>
      </c>
      <c r="B19" s="9">
        <v>0.56993055555555561</v>
      </c>
      <c r="C19" s="6">
        <v>12</v>
      </c>
      <c r="D19" s="4">
        <v>622</v>
      </c>
      <c r="E19" s="4" t="s">
        <v>26</v>
      </c>
      <c r="F19" s="4" t="s">
        <v>26</v>
      </c>
      <c r="G19" s="4">
        <v>-237</v>
      </c>
    </row>
    <row r="20" spans="1:7" x14ac:dyDescent="0.2">
      <c r="A20" s="8">
        <v>46303</v>
      </c>
      <c r="B20" s="9">
        <v>0.56993055555555561</v>
      </c>
      <c r="C20" s="6">
        <v>12.53125</v>
      </c>
      <c r="D20" s="4">
        <v>624</v>
      </c>
      <c r="E20" s="4" t="s">
        <v>26</v>
      </c>
      <c r="F20" s="4" t="s">
        <v>26</v>
      </c>
      <c r="G20" s="4">
        <v>4112</v>
      </c>
    </row>
    <row r="21" spans="1:7" x14ac:dyDescent="0.2">
      <c r="A21" s="8">
        <v>46303</v>
      </c>
      <c r="B21" s="9">
        <v>0.56994212962962965</v>
      </c>
      <c r="C21" s="6">
        <v>13.0625</v>
      </c>
      <c r="D21" s="4">
        <v>621</v>
      </c>
      <c r="E21" s="4" t="s">
        <v>36</v>
      </c>
      <c r="F21" s="10">
        <v>0.55000000000000004</v>
      </c>
      <c r="G21" s="4" t="s">
        <v>28</v>
      </c>
    </row>
    <row r="22" spans="1:7" x14ac:dyDescent="0.2">
      <c r="D22" s="4">
        <f>AVERAGE(D2:D21)</f>
        <v>622.70000000000005</v>
      </c>
    </row>
    <row r="23" spans="1:7" x14ac:dyDescent="0.2">
      <c r="D23" s="4">
        <f>91*(1023-D22)/D22</f>
        <v>58.498956158663873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C4B6-CF1A-420C-84BE-5BDA7B03D886}">
  <sheetPr codeName="工作表6"/>
  <dimension ref="A1:G25"/>
  <sheetViews>
    <sheetView workbookViewId="0">
      <selection activeCell="D23" sqref="D2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7" x14ac:dyDescent="0.2">
      <c r="A1" s="5" t="s">
        <v>18</v>
      </c>
      <c r="B1" s="5" t="s">
        <v>19</v>
      </c>
      <c r="C1" s="7" t="s">
        <v>20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x14ac:dyDescent="0.2">
      <c r="A2" s="8">
        <v>46303</v>
      </c>
      <c r="B2" s="9">
        <v>0.62041666666666662</v>
      </c>
      <c r="C2" s="6">
        <v>1.808594</v>
      </c>
      <c r="D2" s="14">
        <v>622</v>
      </c>
      <c r="E2" s="14" t="s">
        <v>17</v>
      </c>
      <c r="F2" s="14" t="s">
        <v>17</v>
      </c>
      <c r="G2" s="14" t="s">
        <v>17</v>
      </c>
    </row>
    <row r="3" spans="1:7" x14ac:dyDescent="0.2">
      <c r="A3" s="8">
        <v>46303</v>
      </c>
      <c r="B3" s="9">
        <v>0.62041666666666662</v>
      </c>
      <c r="C3" s="6">
        <v>2.2773439999999998</v>
      </c>
      <c r="D3" s="14">
        <v>620</v>
      </c>
      <c r="E3" s="14" t="s">
        <v>17</v>
      </c>
      <c r="F3" s="14" t="s">
        <v>17</v>
      </c>
      <c r="G3" s="14" t="s">
        <v>17</v>
      </c>
    </row>
    <row r="4" spans="1:7" x14ac:dyDescent="0.2">
      <c r="A4" s="8">
        <v>46303</v>
      </c>
      <c r="B4" s="9">
        <v>0.62042824074074077</v>
      </c>
      <c r="C4" s="6">
        <v>2.7773439999999998</v>
      </c>
      <c r="D4" s="14">
        <v>622</v>
      </c>
      <c r="E4" s="14" t="s">
        <v>17</v>
      </c>
      <c r="F4" s="14" t="s">
        <v>17</v>
      </c>
      <c r="G4" s="14" t="s">
        <v>17</v>
      </c>
    </row>
    <row r="5" spans="1:7" x14ac:dyDescent="0.2">
      <c r="A5" s="8">
        <v>46303</v>
      </c>
      <c r="B5" s="9">
        <v>0.62042824074074077</v>
      </c>
      <c r="C5" s="6">
        <v>3.2929689999999998</v>
      </c>
      <c r="D5" s="14">
        <v>621</v>
      </c>
      <c r="E5" s="14" t="s">
        <v>40</v>
      </c>
      <c r="F5" s="14" t="s">
        <v>40</v>
      </c>
      <c r="G5" s="14">
        <v>3088</v>
      </c>
    </row>
    <row r="6" spans="1:7" x14ac:dyDescent="0.2">
      <c r="A6" s="8">
        <v>46303</v>
      </c>
      <c r="B6" s="9">
        <v>0.62043981481481481</v>
      </c>
      <c r="C6" s="6">
        <v>3.8085939999999998</v>
      </c>
      <c r="D6" s="14">
        <v>624</v>
      </c>
      <c r="E6" s="14" t="s">
        <v>40</v>
      </c>
      <c r="F6" s="14" t="s">
        <v>40</v>
      </c>
      <c r="G6" s="14">
        <v>4112</v>
      </c>
    </row>
    <row r="7" spans="1:7" x14ac:dyDescent="0.2">
      <c r="A7" s="8">
        <v>46303</v>
      </c>
      <c r="B7" s="9">
        <v>0.62043981481481481</v>
      </c>
      <c r="C7" s="6">
        <v>4.3242190000000003</v>
      </c>
      <c r="D7" s="14">
        <v>625</v>
      </c>
      <c r="E7" s="14" t="s">
        <v>40</v>
      </c>
      <c r="F7" s="14" t="s">
        <v>40</v>
      </c>
      <c r="G7" s="14">
        <v>4112</v>
      </c>
    </row>
    <row r="8" spans="1:7" x14ac:dyDescent="0.2">
      <c r="A8" s="8">
        <v>46303</v>
      </c>
      <c r="B8" s="9">
        <v>0.62045138888888884</v>
      </c>
      <c r="C8" s="6">
        <v>4.8554690000000003</v>
      </c>
      <c r="D8" s="14">
        <v>623</v>
      </c>
      <c r="E8" s="14" t="s">
        <v>40</v>
      </c>
      <c r="F8" s="14" t="s">
        <v>40</v>
      </c>
      <c r="G8" s="14">
        <v>4112</v>
      </c>
    </row>
    <row r="9" spans="1:7" x14ac:dyDescent="0.2">
      <c r="A9" s="8">
        <v>46303</v>
      </c>
      <c r="B9" s="9">
        <v>0.62045138888888884</v>
      </c>
      <c r="C9" s="6">
        <v>5.3710940000000003</v>
      </c>
      <c r="D9" s="14">
        <v>626</v>
      </c>
      <c r="E9" s="14" t="s">
        <v>40</v>
      </c>
      <c r="F9" s="14" t="s">
        <v>40</v>
      </c>
      <c r="G9" s="14">
        <v>4112</v>
      </c>
    </row>
    <row r="10" spans="1:7" x14ac:dyDescent="0.2">
      <c r="A10" s="8">
        <v>46303</v>
      </c>
      <c r="B10" s="9">
        <v>0.62046296296296299</v>
      </c>
      <c r="C10" s="6">
        <v>5.8867190000000003</v>
      </c>
      <c r="D10" s="14">
        <v>621</v>
      </c>
      <c r="E10" s="14" t="s">
        <v>40</v>
      </c>
      <c r="F10" s="14" t="s">
        <v>40</v>
      </c>
      <c r="G10" s="14">
        <v>4112</v>
      </c>
    </row>
    <row r="11" spans="1:7" x14ac:dyDescent="0.2">
      <c r="A11" s="8">
        <v>46303</v>
      </c>
      <c r="B11" s="9">
        <v>0.62046296296296299</v>
      </c>
      <c r="C11" s="6">
        <v>6.4179690000000003</v>
      </c>
      <c r="D11" s="14">
        <v>626</v>
      </c>
      <c r="E11" s="14" t="s">
        <v>40</v>
      </c>
      <c r="F11" s="14" t="s">
        <v>40</v>
      </c>
      <c r="G11" s="14">
        <v>3088</v>
      </c>
    </row>
    <row r="12" spans="1:7" x14ac:dyDescent="0.2">
      <c r="A12" s="8">
        <v>46303</v>
      </c>
      <c r="B12" s="9">
        <v>0.62047453703703703</v>
      </c>
      <c r="C12" s="6">
        <v>6.9335940000000003</v>
      </c>
      <c r="D12" s="14">
        <v>626</v>
      </c>
      <c r="E12" s="14" t="s">
        <v>40</v>
      </c>
      <c r="F12" s="14" t="s">
        <v>40</v>
      </c>
      <c r="G12" s="14">
        <v>4112</v>
      </c>
    </row>
    <row r="13" spans="1:7" x14ac:dyDescent="0.2">
      <c r="A13" s="8">
        <v>46303</v>
      </c>
      <c r="B13" s="9">
        <v>0.62047453703703703</v>
      </c>
      <c r="C13" s="6">
        <v>7.4492190000000003</v>
      </c>
      <c r="D13" s="14">
        <v>620</v>
      </c>
      <c r="E13" s="14" t="s">
        <v>40</v>
      </c>
      <c r="F13" s="14" t="s">
        <v>40</v>
      </c>
      <c r="G13" s="14">
        <v>3088</v>
      </c>
    </row>
    <row r="14" spans="1:7" x14ac:dyDescent="0.2">
      <c r="A14" s="8">
        <v>46303</v>
      </c>
      <c r="B14" s="9">
        <v>0.62048611111111107</v>
      </c>
      <c r="C14" s="6">
        <v>7.9804690000000003</v>
      </c>
      <c r="D14" s="14">
        <v>626</v>
      </c>
      <c r="E14" s="14" t="s">
        <v>40</v>
      </c>
      <c r="F14" s="14" t="s">
        <v>40</v>
      </c>
      <c r="G14" s="14">
        <v>4112</v>
      </c>
    </row>
    <row r="15" spans="1:7" x14ac:dyDescent="0.2">
      <c r="A15" s="8">
        <v>46303</v>
      </c>
      <c r="B15" s="9">
        <v>0.62048611111111107</v>
      </c>
      <c r="C15" s="6">
        <v>8.4960939999999994</v>
      </c>
      <c r="D15" s="14">
        <v>626</v>
      </c>
      <c r="E15" s="14" t="s">
        <v>40</v>
      </c>
      <c r="F15" s="14" t="s">
        <v>40</v>
      </c>
      <c r="G15" s="14">
        <v>3088</v>
      </c>
    </row>
    <row r="16" spans="1:7" x14ac:dyDescent="0.2">
      <c r="A16" s="8">
        <v>46303</v>
      </c>
      <c r="B16" s="9">
        <v>0.62049768518518522</v>
      </c>
      <c r="C16" s="6">
        <v>9.0273439999999994</v>
      </c>
      <c r="D16" s="14">
        <v>620</v>
      </c>
      <c r="E16" s="14" t="s">
        <v>40</v>
      </c>
      <c r="F16" s="14" t="s">
        <v>40</v>
      </c>
      <c r="G16" s="14">
        <v>3088</v>
      </c>
    </row>
    <row r="17" spans="1:7" x14ac:dyDescent="0.2">
      <c r="A17" s="8">
        <v>46303</v>
      </c>
      <c r="B17" s="9">
        <v>0.62049768518518522</v>
      </c>
      <c r="C17" s="6">
        <v>9.5429689999999994</v>
      </c>
      <c r="D17" s="14">
        <v>627</v>
      </c>
      <c r="E17" s="14" t="s">
        <v>40</v>
      </c>
      <c r="F17" s="14" t="s">
        <v>40</v>
      </c>
      <c r="G17" s="14">
        <v>4112</v>
      </c>
    </row>
    <row r="18" spans="1:7" x14ac:dyDescent="0.2">
      <c r="A18" s="8">
        <v>46303</v>
      </c>
      <c r="B18" s="9">
        <v>0.62050925925925926</v>
      </c>
      <c r="C18" s="6">
        <v>10.058590000000001</v>
      </c>
      <c r="D18" s="14">
        <v>623</v>
      </c>
      <c r="E18" s="14" t="s">
        <v>40</v>
      </c>
      <c r="F18" s="14" t="s">
        <v>40</v>
      </c>
      <c r="G18" s="14">
        <v>4112</v>
      </c>
    </row>
    <row r="19" spans="1:7" x14ac:dyDescent="0.2">
      <c r="A19" s="8">
        <v>46303</v>
      </c>
      <c r="B19" s="9">
        <v>0.62050925925925926</v>
      </c>
      <c r="C19" s="6">
        <v>10.570309999999999</v>
      </c>
      <c r="D19" s="14">
        <v>628</v>
      </c>
      <c r="E19" s="14" t="s">
        <v>40</v>
      </c>
      <c r="F19" s="14" t="s">
        <v>40</v>
      </c>
      <c r="G19" s="14">
        <v>3088</v>
      </c>
    </row>
    <row r="20" spans="1:7" x14ac:dyDescent="0.2">
      <c r="A20" s="8">
        <v>46303</v>
      </c>
      <c r="B20" s="9">
        <v>0.6205208333333333</v>
      </c>
      <c r="C20" s="6">
        <v>11.10547</v>
      </c>
      <c r="D20" s="14">
        <v>627</v>
      </c>
      <c r="E20" s="14" t="s">
        <v>40</v>
      </c>
      <c r="F20" s="14" t="s">
        <v>40</v>
      </c>
      <c r="G20" s="14">
        <v>3088</v>
      </c>
    </row>
    <row r="21" spans="1:7" x14ac:dyDescent="0.2">
      <c r="A21" s="8">
        <v>46303</v>
      </c>
      <c r="B21" s="9">
        <v>0.62053240740740745</v>
      </c>
      <c r="C21" s="6">
        <v>11.621090000000001</v>
      </c>
      <c r="D21" s="14">
        <v>624</v>
      </c>
      <c r="E21" s="14" t="s">
        <v>40</v>
      </c>
      <c r="F21" s="14" t="s">
        <v>40</v>
      </c>
      <c r="G21" s="14">
        <v>4112</v>
      </c>
    </row>
    <row r="22" spans="1:7" x14ac:dyDescent="0.2">
      <c r="A22" s="8"/>
      <c r="B22" s="8"/>
      <c r="C22" s="8"/>
      <c r="D22" s="4">
        <f>AVERAGE(D2:D21)</f>
        <v>623.85</v>
      </c>
      <c r="E22" s="8"/>
      <c r="F22" s="8"/>
      <c r="G22" s="8"/>
    </row>
    <row r="23" spans="1:7" x14ac:dyDescent="0.2">
      <c r="A23" s="8"/>
      <c r="B23" s="8"/>
      <c r="C23" s="8"/>
      <c r="D23" s="4">
        <f>91*(1023-D22)/D22</f>
        <v>58.223371002644868</v>
      </c>
      <c r="E23" s="8"/>
      <c r="F23" s="8"/>
      <c r="G23" s="8"/>
    </row>
    <row r="24" spans="1:7" x14ac:dyDescent="0.2">
      <c r="A24" s="8"/>
      <c r="B24" s="8"/>
      <c r="C24" s="8"/>
      <c r="D24" s="8"/>
      <c r="E24" s="8"/>
      <c r="F24" s="8"/>
      <c r="G24" s="8"/>
    </row>
    <row r="25" spans="1:7" x14ac:dyDescent="0.2">
      <c r="A25" s="8"/>
      <c r="B25" s="8"/>
      <c r="C25" s="8"/>
      <c r="D25" s="8"/>
      <c r="E25" s="8"/>
      <c r="F25" s="8"/>
      <c r="G25" s="8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8FEBF-07DD-4855-AFEC-761EF26D5A59}">
  <sheetPr codeName="工作表7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0.57340277777777782</v>
      </c>
      <c r="C2" s="6">
        <v>1.8125</v>
      </c>
      <c r="D2" s="4">
        <v>595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0.57340277777777782</v>
      </c>
      <c r="C3" s="6">
        <v>2.28125</v>
      </c>
      <c r="D3" s="4">
        <v>591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0.57341435185185186</v>
      </c>
      <c r="C4" s="6">
        <v>2.78125</v>
      </c>
      <c r="D4" s="4">
        <v>592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0.57341435185185186</v>
      </c>
      <c r="C5" s="6">
        <v>3.296875</v>
      </c>
      <c r="D5" s="4">
        <v>598</v>
      </c>
      <c r="E5" s="4" t="s">
        <v>37</v>
      </c>
      <c r="F5" s="10">
        <v>0.56000000000000005</v>
      </c>
      <c r="G5" s="4" t="s">
        <v>28</v>
      </c>
    </row>
    <row r="6" spans="1:7" x14ac:dyDescent="0.2">
      <c r="A6" s="8">
        <v>46303</v>
      </c>
      <c r="B6" s="9">
        <v>0.57342592592592589</v>
      </c>
      <c r="C6" s="6">
        <v>3.828125</v>
      </c>
      <c r="D6" s="4">
        <v>594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0.57342592592592589</v>
      </c>
      <c r="C7" s="6">
        <v>4.328125</v>
      </c>
      <c r="D7" s="4">
        <v>592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0.57343750000000004</v>
      </c>
      <c r="C8" s="6">
        <v>4.828125</v>
      </c>
      <c r="D8" s="4">
        <v>592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0.57343750000000004</v>
      </c>
      <c r="C9" s="6">
        <v>5.328125</v>
      </c>
      <c r="D9" s="4">
        <v>597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0.57344907407407408</v>
      </c>
      <c r="C10" s="6">
        <v>6.34375</v>
      </c>
      <c r="D10" s="4">
        <v>591</v>
      </c>
      <c r="E10" s="4" t="s">
        <v>40</v>
      </c>
      <c r="F10" s="4" t="s">
        <v>40</v>
      </c>
      <c r="G10" s="4">
        <v>-237</v>
      </c>
    </row>
    <row r="11" spans="1:7" x14ac:dyDescent="0.2">
      <c r="A11" s="8">
        <v>46303</v>
      </c>
      <c r="B11" s="9">
        <v>0.57346064814814812</v>
      </c>
      <c r="C11" s="6">
        <v>6.875</v>
      </c>
      <c r="D11" s="4">
        <v>595</v>
      </c>
      <c r="E11" s="4" t="s">
        <v>40</v>
      </c>
      <c r="F11" s="4" t="s">
        <v>40</v>
      </c>
      <c r="G11" s="4">
        <v>3088</v>
      </c>
    </row>
    <row r="12" spans="1:7" x14ac:dyDescent="0.2">
      <c r="A12" s="8">
        <v>46303</v>
      </c>
      <c r="B12" s="9">
        <v>0.57346064814814812</v>
      </c>
      <c r="C12" s="6">
        <v>7.40625</v>
      </c>
      <c r="D12" s="4">
        <v>591</v>
      </c>
      <c r="E12" s="4" t="s">
        <v>37</v>
      </c>
      <c r="F12" s="10">
        <v>0.56000000000000005</v>
      </c>
      <c r="G12" s="4" t="s">
        <v>28</v>
      </c>
    </row>
    <row r="13" spans="1:7" x14ac:dyDescent="0.2">
      <c r="A13" s="8">
        <v>46303</v>
      </c>
      <c r="B13" s="9">
        <v>0.57347222222222227</v>
      </c>
      <c r="C13" s="6">
        <v>7.921875</v>
      </c>
      <c r="D13" s="4">
        <v>592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0.57347222222222227</v>
      </c>
      <c r="C14" s="6">
        <v>8.4375</v>
      </c>
      <c r="D14" s="4">
        <v>597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0.57348379629629631</v>
      </c>
      <c r="C15" s="6">
        <v>8.9375</v>
      </c>
      <c r="D15" s="4">
        <v>592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0.57348379629629631</v>
      </c>
      <c r="C16" s="6">
        <v>9.4375</v>
      </c>
      <c r="D16" s="4">
        <v>591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0.57349537037037035</v>
      </c>
      <c r="C17" s="6">
        <v>9.953125</v>
      </c>
      <c r="D17" s="4">
        <v>593</v>
      </c>
      <c r="E17" s="4" t="s">
        <v>36</v>
      </c>
      <c r="F17" s="10">
        <v>0.56000000000000005</v>
      </c>
      <c r="G17" s="4" t="s">
        <v>28</v>
      </c>
    </row>
    <row r="18" spans="1:7" x14ac:dyDescent="0.2">
      <c r="A18" s="8">
        <v>46303</v>
      </c>
      <c r="B18" s="9">
        <v>0.57349537037037035</v>
      </c>
      <c r="C18" s="6">
        <v>10.46875</v>
      </c>
      <c r="D18" s="4">
        <v>597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0.5735069444444445</v>
      </c>
      <c r="C19" s="6">
        <v>10.96875</v>
      </c>
      <c r="D19" s="4">
        <v>596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0.5735069444444445</v>
      </c>
      <c r="C20" s="6">
        <v>11.46875</v>
      </c>
      <c r="D20" s="4">
        <v>597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46303</v>
      </c>
      <c r="B21" s="9">
        <v>0.57351851851851854</v>
      </c>
      <c r="C21" s="6">
        <v>11.96875</v>
      </c>
      <c r="D21" s="4">
        <v>592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593.75</v>
      </c>
    </row>
    <row r="23" spans="1:7" x14ac:dyDescent="0.2">
      <c r="D23" s="4">
        <f>91*(1023-D22)/D22</f>
        <v>65.788210526315794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9DFE9-9158-4E97-9B89-662B2F4148AE}">
  <sheetPr codeName="工作表8"/>
  <dimension ref="A1:G23"/>
  <sheetViews>
    <sheetView tabSelected="1"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0.57601851851851849</v>
      </c>
      <c r="C2" s="6">
        <v>1.8125</v>
      </c>
      <c r="D2" s="4">
        <v>595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0.57601851851851849</v>
      </c>
      <c r="C3" s="6">
        <v>2.28125</v>
      </c>
      <c r="D3" s="4">
        <v>596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0.57603009259259264</v>
      </c>
      <c r="C4" s="6">
        <v>2.78125</v>
      </c>
      <c r="D4" s="4">
        <v>600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0.57603009259259264</v>
      </c>
      <c r="C5" s="6">
        <v>3.296875</v>
      </c>
      <c r="D5" s="4">
        <v>601</v>
      </c>
      <c r="E5" s="4" t="s">
        <v>36</v>
      </c>
      <c r="F5" s="10">
        <v>0.54</v>
      </c>
      <c r="G5" s="4" t="s">
        <v>28</v>
      </c>
    </row>
    <row r="6" spans="1:7" x14ac:dyDescent="0.2">
      <c r="A6" s="8">
        <v>46303</v>
      </c>
      <c r="B6" s="9">
        <v>0.57604166666666667</v>
      </c>
      <c r="C6" s="6">
        <v>3.828125</v>
      </c>
      <c r="D6" s="4">
        <v>603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0.57604166666666667</v>
      </c>
      <c r="C7" s="6">
        <v>4.328125</v>
      </c>
      <c r="D7" s="4">
        <v>597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0.57605324074074071</v>
      </c>
      <c r="C8" s="6">
        <v>4.828125</v>
      </c>
      <c r="D8" s="4">
        <v>598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0.57605324074074071</v>
      </c>
      <c r="C9" s="6">
        <v>5.328125</v>
      </c>
      <c r="D9" s="4">
        <v>600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0.57606481481481486</v>
      </c>
      <c r="C10" s="6">
        <v>5.8398440000000003</v>
      </c>
      <c r="D10" s="4">
        <v>602</v>
      </c>
      <c r="E10" s="4" t="s">
        <v>40</v>
      </c>
      <c r="F10" s="4" t="s">
        <v>40</v>
      </c>
      <c r="G10" s="4">
        <v>21</v>
      </c>
    </row>
    <row r="11" spans="1:7" x14ac:dyDescent="0.2">
      <c r="A11" s="8">
        <v>46303</v>
      </c>
      <c r="B11" s="9">
        <v>0.57606481481481486</v>
      </c>
      <c r="C11" s="6">
        <v>6.3710940000000003</v>
      </c>
      <c r="D11" s="4">
        <v>598</v>
      </c>
      <c r="E11" s="4" t="s">
        <v>40</v>
      </c>
      <c r="F11" s="4" t="s">
        <v>40</v>
      </c>
      <c r="G11" s="4">
        <v>4112</v>
      </c>
    </row>
    <row r="12" spans="1:7" x14ac:dyDescent="0.2">
      <c r="A12" s="8">
        <v>46303</v>
      </c>
      <c r="B12" s="9">
        <v>0.5760763888888889</v>
      </c>
      <c r="C12" s="6">
        <v>6.8867190000000003</v>
      </c>
      <c r="D12" s="4">
        <v>599</v>
      </c>
      <c r="E12" s="4" t="s">
        <v>40</v>
      </c>
      <c r="F12" s="4" t="s">
        <v>40</v>
      </c>
      <c r="G12" s="4">
        <v>4112</v>
      </c>
    </row>
    <row r="13" spans="1:7" x14ac:dyDescent="0.2">
      <c r="A13" s="8">
        <v>46303</v>
      </c>
      <c r="B13" s="9">
        <v>0.5760763888888889</v>
      </c>
      <c r="C13" s="6">
        <v>7.4179690000000003</v>
      </c>
      <c r="D13" s="4">
        <v>599</v>
      </c>
      <c r="E13" s="4" t="s">
        <v>36</v>
      </c>
      <c r="F13" s="10">
        <v>0.54</v>
      </c>
      <c r="G13" s="4" t="s">
        <v>28</v>
      </c>
    </row>
    <row r="14" spans="1:7" x14ac:dyDescent="0.2">
      <c r="A14" s="8">
        <v>46303</v>
      </c>
      <c r="B14" s="9">
        <v>0.57608796296296294</v>
      </c>
      <c r="C14" s="6">
        <v>7.9492190000000003</v>
      </c>
      <c r="D14" s="4">
        <v>599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0.57608796296296294</v>
      </c>
      <c r="C15" s="6">
        <v>8.4492189999999994</v>
      </c>
      <c r="D15" s="4">
        <v>602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0.57609953703703709</v>
      </c>
      <c r="C16" s="6">
        <v>8.9492189999999994</v>
      </c>
      <c r="D16" s="4">
        <v>602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0.57609953703703709</v>
      </c>
      <c r="C17" s="6">
        <v>9.4492189999999994</v>
      </c>
      <c r="D17" s="4">
        <v>602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0.57611111111111113</v>
      </c>
      <c r="C18" s="6">
        <v>9.9648439999999994</v>
      </c>
      <c r="D18" s="4">
        <v>600</v>
      </c>
      <c r="E18" s="4" t="s">
        <v>36</v>
      </c>
      <c r="F18" s="10">
        <v>0.54</v>
      </c>
      <c r="G18" s="4" t="s">
        <v>28</v>
      </c>
    </row>
    <row r="19" spans="1:7" x14ac:dyDescent="0.2">
      <c r="A19" s="8">
        <v>46303</v>
      </c>
      <c r="B19" s="9">
        <v>0.57611111111111113</v>
      </c>
      <c r="C19" s="6">
        <v>10.48438</v>
      </c>
      <c r="D19" s="4">
        <v>598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0.57612268518518517</v>
      </c>
      <c r="C20" s="6">
        <v>10.98438</v>
      </c>
      <c r="D20" s="4">
        <v>598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46303</v>
      </c>
      <c r="B21" s="9">
        <v>0.57612268518518517</v>
      </c>
      <c r="C21" s="6">
        <v>11.5</v>
      </c>
      <c r="D21" s="4">
        <v>604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599.65</v>
      </c>
    </row>
    <row r="23" spans="1:7" x14ac:dyDescent="0.2">
      <c r="D23" s="4">
        <f>91*(1023-D22)/D22</f>
        <v>64.245559909947474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9F7DD-404E-4E68-B04D-F2AC0A066CB1}">
  <sheetPr codeName="工作表9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0.57478009259259255</v>
      </c>
      <c r="C2" s="6">
        <v>1.800781</v>
      </c>
      <c r="D2" s="4">
        <v>573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0.57478009259259255</v>
      </c>
      <c r="C3" s="6">
        <v>2.2695310000000002</v>
      </c>
      <c r="D3" s="4">
        <v>578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0.5747916666666667</v>
      </c>
      <c r="C4" s="6">
        <v>2.7851560000000002</v>
      </c>
      <c r="D4" s="4">
        <v>576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0.57480324074074074</v>
      </c>
      <c r="C5" s="6">
        <v>3.8007810000000002</v>
      </c>
      <c r="D5" s="4">
        <v>578</v>
      </c>
      <c r="E5" s="4" t="s">
        <v>40</v>
      </c>
      <c r="F5" s="4" t="s">
        <v>40</v>
      </c>
      <c r="G5" s="4">
        <v>-237</v>
      </c>
    </row>
    <row r="6" spans="1:7" x14ac:dyDescent="0.2">
      <c r="A6" s="8">
        <v>46303</v>
      </c>
      <c r="B6" s="9">
        <v>0.57480324074074074</v>
      </c>
      <c r="C6" s="6">
        <v>4.3164059999999997</v>
      </c>
      <c r="D6" s="4">
        <v>578</v>
      </c>
      <c r="E6" s="4" t="s">
        <v>40</v>
      </c>
      <c r="F6" s="4" t="s">
        <v>40</v>
      </c>
      <c r="G6" s="4">
        <v>3088</v>
      </c>
    </row>
    <row r="7" spans="1:7" x14ac:dyDescent="0.2">
      <c r="A7" s="8">
        <v>46303</v>
      </c>
      <c r="B7" s="9">
        <v>0.57481481481481478</v>
      </c>
      <c r="C7" s="6">
        <v>4.8632809999999997</v>
      </c>
      <c r="D7" s="4">
        <v>579</v>
      </c>
      <c r="E7" s="4" t="s">
        <v>36</v>
      </c>
      <c r="F7" s="10">
        <v>0.55000000000000004</v>
      </c>
      <c r="G7" s="4" t="s">
        <v>28</v>
      </c>
    </row>
    <row r="8" spans="1:7" x14ac:dyDescent="0.2">
      <c r="A8" s="8">
        <v>46303</v>
      </c>
      <c r="B8" s="9">
        <v>0.57481481481481478</v>
      </c>
      <c r="C8" s="6">
        <v>5.3789059999999997</v>
      </c>
      <c r="D8" s="4">
        <v>579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0.57482638888888893</v>
      </c>
      <c r="C9" s="6">
        <v>5.8789059999999997</v>
      </c>
      <c r="D9" s="4">
        <v>576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0.57482638888888893</v>
      </c>
      <c r="C10" s="6">
        <v>6.3789059999999997</v>
      </c>
      <c r="D10" s="4">
        <v>579</v>
      </c>
      <c r="E10" s="4" t="s">
        <v>17</v>
      </c>
      <c r="F10" s="4" t="s">
        <v>17</v>
      </c>
      <c r="G10" s="4" t="s">
        <v>17</v>
      </c>
    </row>
    <row r="11" spans="1:7" x14ac:dyDescent="0.2">
      <c r="A11" s="8">
        <v>46303</v>
      </c>
      <c r="B11" s="9">
        <v>0.57483796296296297</v>
      </c>
      <c r="C11" s="6">
        <v>6.8789059999999997</v>
      </c>
      <c r="D11" s="4">
        <v>580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0.57484953703703701</v>
      </c>
      <c r="C12" s="6">
        <v>7.4101559999999997</v>
      </c>
      <c r="D12" s="4">
        <v>576</v>
      </c>
      <c r="E12" s="4" t="s">
        <v>36</v>
      </c>
      <c r="F12" s="10">
        <v>0.55000000000000004</v>
      </c>
      <c r="G12" s="4" t="s">
        <v>28</v>
      </c>
    </row>
    <row r="13" spans="1:7" x14ac:dyDescent="0.2">
      <c r="A13" s="8">
        <v>46303</v>
      </c>
      <c r="B13" s="9">
        <v>0.57484953703703701</v>
      </c>
      <c r="C13" s="6">
        <v>7.9257809999999997</v>
      </c>
      <c r="D13" s="4">
        <v>575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0.57486111111111116</v>
      </c>
      <c r="C14" s="6">
        <v>8.4257810000000006</v>
      </c>
      <c r="D14" s="4">
        <v>577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0.57486111111111116</v>
      </c>
      <c r="C15" s="6">
        <v>8.9257810000000006</v>
      </c>
      <c r="D15" s="4">
        <v>574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0.57487268518518519</v>
      </c>
      <c r="C16" s="6">
        <v>9.4257810000000006</v>
      </c>
      <c r="D16" s="4">
        <v>580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0.57488425925925923</v>
      </c>
      <c r="C17" s="6">
        <v>10.441409999999999</v>
      </c>
      <c r="D17" s="4">
        <v>579</v>
      </c>
      <c r="E17" s="4" t="s">
        <v>40</v>
      </c>
      <c r="F17" s="4" t="s">
        <v>40</v>
      </c>
      <c r="G17" s="4">
        <v>-237</v>
      </c>
    </row>
    <row r="18" spans="1:7" x14ac:dyDescent="0.2">
      <c r="A18" s="8">
        <v>46303</v>
      </c>
      <c r="B18" s="9">
        <v>0.57488425925925923</v>
      </c>
      <c r="C18" s="6">
        <v>10.972659999999999</v>
      </c>
      <c r="D18" s="4">
        <v>581</v>
      </c>
      <c r="E18" s="4" t="s">
        <v>40</v>
      </c>
      <c r="F18" s="4" t="s">
        <v>40</v>
      </c>
      <c r="G18" s="4">
        <v>4112</v>
      </c>
    </row>
    <row r="19" spans="1:7" x14ac:dyDescent="0.2">
      <c r="A19" s="8">
        <v>46303</v>
      </c>
      <c r="B19" s="9">
        <v>0.57489583333333338</v>
      </c>
      <c r="C19" s="6">
        <v>12.003909999999999</v>
      </c>
      <c r="D19" s="4">
        <v>581</v>
      </c>
      <c r="E19" s="4" t="s">
        <v>40</v>
      </c>
      <c r="F19" s="4" t="s">
        <v>40</v>
      </c>
      <c r="G19" s="4">
        <v>-237</v>
      </c>
    </row>
    <row r="20" spans="1:7" x14ac:dyDescent="0.2">
      <c r="A20" s="8">
        <v>46303</v>
      </c>
      <c r="B20" s="9">
        <v>0.57490740740740742</v>
      </c>
      <c r="C20" s="6">
        <v>12.535159999999999</v>
      </c>
      <c r="D20" s="4">
        <v>579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0.57490740740740742</v>
      </c>
      <c r="C21" s="6">
        <v>13.066409999999999</v>
      </c>
      <c r="D21" s="4">
        <v>580</v>
      </c>
      <c r="E21" s="4" t="s">
        <v>36</v>
      </c>
      <c r="F21" s="10">
        <v>0.54</v>
      </c>
      <c r="G21" s="4" t="s">
        <v>28</v>
      </c>
    </row>
    <row r="22" spans="1:7" x14ac:dyDescent="0.2">
      <c r="D22" s="4">
        <f>AVERAGE(D2:D21)</f>
        <v>577.9</v>
      </c>
    </row>
    <row r="23" spans="1:7" x14ac:dyDescent="0.2">
      <c r="D23" s="4">
        <f>91*(1023-D22)/D22</f>
        <v>70.088423602699436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47D2-FC37-4EA4-83B5-BCD3067EBB8E}">
  <sheetPr codeName="工作表10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0.57805555555555554</v>
      </c>
      <c r="C2" s="6">
        <v>1.796875</v>
      </c>
      <c r="D2" s="4">
        <v>515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0.57805555555555554</v>
      </c>
      <c r="C3" s="6">
        <v>2.28125</v>
      </c>
      <c r="D3" s="4">
        <v>515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0.57806712962962958</v>
      </c>
      <c r="C4" s="6">
        <v>2.78125</v>
      </c>
      <c r="D4" s="4">
        <v>521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0.57806712962962958</v>
      </c>
      <c r="C5" s="6">
        <v>3.296875</v>
      </c>
      <c r="D5" s="4">
        <v>515</v>
      </c>
      <c r="E5" s="4" t="s">
        <v>36</v>
      </c>
      <c r="F5" s="10">
        <v>0.54</v>
      </c>
      <c r="G5" s="4" t="s">
        <v>28</v>
      </c>
    </row>
    <row r="6" spans="1:7" x14ac:dyDescent="0.2">
      <c r="A6" s="8">
        <v>46303</v>
      </c>
      <c r="B6" s="9">
        <v>0.57807870370370373</v>
      </c>
      <c r="C6" s="6">
        <v>3.828125</v>
      </c>
      <c r="D6" s="4">
        <v>522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0.57807870370370373</v>
      </c>
      <c r="C7" s="6">
        <v>4.328125</v>
      </c>
      <c r="D7" s="4">
        <v>522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0.57809027777777777</v>
      </c>
      <c r="C8" s="6">
        <v>4.828125</v>
      </c>
      <c r="D8" s="4">
        <v>515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0.57809027777777777</v>
      </c>
      <c r="C9" s="6">
        <v>5.328125</v>
      </c>
      <c r="D9" s="4">
        <v>516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0.57810185185185181</v>
      </c>
      <c r="C10" s="6">
        <v>5.84375</v>
      </c>
      <c r="D10" s="4">
        <v>521</v>
      </c>
      <c r="E10" s="4" t="s">
        <v>36</v>
      </c>
      <c r="F10" s="10">
        <v>0.54</v>
      </c>
      <c r="G10" s="4" t="s">
        <v>28</v>
      </c>
    </row>
    <row r="11" spans="1:7" x14ac:dyDescent="0.2">
      <c r="A11" s="8">
        <v>46303</v>
      </c>
      <c r="B11" s="9">
        <v>0.57810185185185181</v>
      </c>
      <c r="C11" s="6">
        <v>6.359375</v>
      </c>
      <c r="D11" s="4">
        <v>516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0.57811342592592596</v>
      </c>
      <c r="C12" s="6">
        <v>6.859375</v>
      </c>
      <c r="D12" s="4">
        <v>514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0.57811342592592596</v>
      </c>
      <c r="C13" s="6">
        <v>7.359375</v>
      </c>
      <c r="D13" s="4">
        <v>513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0.578125</v>
      </c>
      <c r="C14" s="6">
        <v>7.859375</v>
      </c>
      <c r="D14" s="4">
        <v>518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0.578125</v>
      </c>
      <c r="C15" s="6">
        <v>8.390625</v>
      </c>
      <c r="D15" s="4">
        <v>512</v>
      </c>
      <c r="E15" s="4" t="s">
        <v>36</v>
      </c>
      <c r="F15" s="10">
        <v>0.54</v>
      </c>
      <c r="G15" s="4" t="s">
        <v>28</v>
      </c>
    </row>
    <row r="16" spans="1:7" x14ac:dyDescent="0.2">
      <c r="A16" s="8">
        <v>46303</v>
      </c>
      <c r="B16" s="9">
        <v>0.57813657407407404</v>
      </c>
      <c r="C16" s="6">
        <v>8.90625</v>
      </c>
      <c r="D16" s="4">
        <v>520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0.57813657407407404</v>
      </c>
      <c r="C17" s="6">
        <v>9.40625</v>
      </c>
      <c r="D17" s="4">
        <v>521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0.57814814814814819</v>
      </c>
      <c r="C18" s="6">
        <v>9.90625</v>
      </c>
      <c r="D18" s="4">
        <v>521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0.57814814814814819</v>
      </c>
      <c r="C19" s="6">
        <v>10.40625</v>
      </c>
      <c r="D19" s="4">
        <v>519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0.57815972222222223</v>
      </c>
      <c r="C20" s="6">
        <v>11.42188</v>
      </c>
      <c r="D20" s="4">
        <v>521</v>
      </c>
      <c r="E20" s="4" t="s">
        <v>40</v>
      </c>
      <c r="F20" s="4" t="s">
        <v>40</v>
      </c>
      <c r="G20" s="4">
        <v>-237</v>
      </c>
    </row>
    <row r="21" spans="1:7" x14ac:dyDescent="0.2">
      <c r="A21" s="8">
        <v>46303</v>
      </c>
      <c r="B21" s="9">
        <v>0.57817129629629627</v>
      </c>
      <c r="C21" s="6">
        <v>11.95313</v>
      </c>
      <c r="D21" s="4">
        <v>520</v>
      </c>
      <c r="E21" s="4" t="s">
        <v>40</v>
      </c>
      <c r="F21" s="4" t="s">
        <v>40</v>
      </c>
      <c r="G21" s="4">
        <v>3088</v>
      </c>
    </row>
    <row r="22" spans="1:7" x14ac:dyDescent="0.2">
      <c r="D22" s="4">
        <f>AVERAGE(D2:D21)</f>
        <v>517.85</v>
      </c>
    </row>
    <row r="23" spans="1:7" x14ac:dyDescent="0.2">
      <c r="D23" s="4">
        <f>91*(1023-D22)/D22</f>
        <v>88.768272665829869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9BD68-8BB1-4B70-B7DD-81F5C09534EF}">
  <sheetPr codeName="工作表11"/>
  <dimension ref="A1:G23"/>
  <sheetViews>
    <sheetView workbookViewId="0">
      <selection activeCell="D22" sqref="D22"/>
    </sheetView>
  </sheetViews>
  <sheetFormatPr defaultRowHeight="12.75" x14ac:dyDescent="0.2"/>
  <sheetData>
    <row r="1" spans="1:7" x14ac:dyDescent="0.2">
      <c r="A1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11">
        <v>46303</v>
      </c>
      <c r="B2" s="12">
        <v>0.57974537037037033</v>
      </c>
      <c r="C2">
        <v>1.808594</v>
      </c>
      <c r="D2">
        <v>506</v>
      </c>
      <c r="E2" t="s">
        <v>17</v>
      </c>
      <c r="F2" t="s">
        <v>17</v>
      </c>
      <c r="G2" t="s">
        <v>17</v>
      </c>
    </row>
    <row r="3" spans="1:7" x14ac:dyDescent="0.2">
      <c r="A3" s="11">
        <v>46303</v>
      </c>
      <c r="B3" s="12">
        <v>0.57975694444444448</v>
      </c>
      <c r="C3">
        <v>2.2773439999999998</v>
      </c>
      <c r="D3">
        <v>503</v>
      </c>
      <c r="E3" t="s">
        <v>17</v>
      </c>
      <c r="F3" t="s">
        <v>17</v>
      </c>
      <c r="G3" t="s">
        <v>17</v>
      </c>
    </row>
    <row r="4" spans="1:7" x14ac:dyDescent="0.2">
      <c r="A4" s="11">
        <v>46303</v>
      </c>
      <c r="B4" s="12">
        <v>0.57975694444444448</v>
      </c>
      <c r="C4">
        <v>2.7773439999999998</v>
      </c>
      <c r="D4">
        <v>500</v>
      </c>
      <c r="E4" t="s">
        <v>17</v>
      </c>
      <c r="F4" t="s">
        <v>17</v>
      </c>
      <c r="G4" t="s">
        <v>17</v>
      </c>
    </row>
    <row r="5" spans="1:7" x14ac:dyDescent="0.2">
      <c r="A5" s="11">
        <v>46303</v>
      </c>
      <c r="B5" s="12">
        <v>0.57976851851851852</v>
      </c>
      <c r="C5">
        <v>3.3085939999999998</v>
      </c>
      <c r="D5">
        <v>501</v>
      </c>
      <c r="E5" t="s">
        <v>36</v>
      </c>
      <c r="F5" s="13">
        <v>0.54</v>
      </c>
      <c r="G5" t="s">
        <v>28</v>
      </c>
    </row>
    <row r="6" spans="1:7" x14ac:dyDescent="0.2">
      <c r="A6" s="11">
        <v>46303</v>
      </c>
      <c r="B6" s="12">
        <v>0.57976851851851852</v>
      </c>
      <c r="C6">
        <v>3.828125</v>
      </c>
      <c r="D6">
        <v>505</v>
      </c>
      <c r="E6" t="s">
        <v>17</v>
      </c>
      <c r="F6" t="s">
        <v>17</v>
      </c>
      <c r="G6" t="s">
        <v>17</v>
      </c>
    </row>
    <row r="7" spans="1:7" x14ac:dyDescent="0.2">
      <c r="A7" s="11">
        <v>46303</v>
      </c>
      <c r="B7" s="12">
        <v>0.57978009259259256</v>
      </c>
      <c r="C7">
        <v>4.3242190000000003</v>
      </c>
      <c r="D7">
        <v>501</v>
      </c>
      <c r="E7" t="s">
        <v>17</v>
      </c>
      <c r="F7" t="s">
        <v>17</v>
      </c>
      <c r="G7" t="s">
        <v>17</v>
      </c>
    </row>
    <row r="8" spans="1:7" x14ac:dyDescent="0.2">
      <c r="A8" s="11">
        <v>46303</v>
      </c>
      <c r="B8" s="12">
        <v>0.57978009259259256</v>
      </c>
      <c r="C8">
        <v>4.8242190000000003</v>
      </c>
      <c r="D8">
        <v>501</v>
      </c>
      <c r="E8" t="s">
        <v>17</v>
      </c>
      <c r="F8" t="s">
        <v>17</v>
      </c>
      <c r="G8" t="s">
        <v>17</v>
      </c>
    </row>
    <row r="9" spans="1:7" x14ac:dyDescent="0.2">
      <c r="A9" s="11">
        <v>46303</v>
      </c>
      <c r="B9" s="12">
        <v>0.57979166666666671</v>
      </c>
      <c r="C9">
        <v>5.3242190000000003</v>
      </c>
      <c r="D9">
        <v>498</v>
      </c>
      <c r="E9" t="s">
        <v>17</v>
      </c>
      <c r="F9" t="s">
        <v>17</v>
      </c>
      <c r="G9" t="s">
        <v>17</v>
      </c>
    </row>
    <row r="10" spans="1:7" x14ac:dyDescent="0.2">
      <c r="A10" s="11">
        <v>46303</v>
      </c>
      <c r="B10" s="12">
        <v>0.57979166666666671</v>
      </c>
      <c r="C10">
        <v>5.8476559999999997</v>
      </c>
      <c r="D10">
        <v>503</v>
      </c>
      <c r="E10" t="s">
        <v>36</v>
      </c>
      <c r="F10" s="13">
        <v>0.54</v>
      </c>
      <c r="G10" t="s">
        <v>28</v>
      </c>
    </row>
    <row r="11" spans="1:7" x14ac:dyDescent="0.2">
      <c r="A11" s="11">
        <v>46303</v>
      </c>
      <c r="B11" s="12">
        <v>0.57980324074074074</v>
      </c>
      <c r="C11">
        <v>6.3632809999999997</v>
      </c>
      <c r="D11">
        <v>502</v>
      </c>
      <c r="E11" t="s">
        <v>17</v>
      </c>
      <c r="F11" t="s">
        <v>17</v>
      </c>
      <c r="G11" t="s">
        <v>17</v>
      </c>
    </row>
    <row r="12" spans="1:7" x14ac:dyDescent="0.2">
      <c r="A12" s="11">
        <v>46303</v>
      </c>
      <c r="B12" s="12">
        <v>0.57980324074074074</v>
      </c>
      <c r="C12">
        <v>6.8789059999999997</v>
      </c>
      <c r="D12">
        <v>501</v>
      </c>
      <c r="E12" t="s">
        <v>17</v>
      </c>
      <c r="F12" t="s">
        <v>17</v>
      </c>
      <c r="G12" t="s">
        <v>17</v>
      </c>
    </row>
    <row r="13" spans="1:7" x14ac:dyDescent="0.2">
      <c r="A13" s="11">
        <v>46303</v>
      </c>
      <c r="B13" s="12">
        <v>0.57981481481481478</v>
      </c>
      <c r="C13">
        <v>7.3789059999999997</v>
      </c>
      <c r="D13">
        <v>496</v>
      </c>
      <c r="E13" t="s">
        <v>17</v>
      </c>
      <c r="F13" t="s">
        <v>17</v>
      </c>
      <c r="G13" t="s">
        <v>17</v>
      </c>
    </row>
    <row r="14" spans="1:7" x14ac:dyDescent="0.2">
      <c r="A14" s="11">
        <v>46303</v>
      </c>
      <c r="B14" s="12">
        <v>0.57981481481481478</v>
      </c>
      <c r="C14">
        <v>7.8789059999999997</v>
      </c>
      <c r="D14">
        <v>501</v>
      </c>
      <c r="E14" t="s">
        <v>17</v>
      </c>
      <c r="F14" t="s">
        <v>17</v>
      </c>
      <c r="G14" t="s">
        <v>17</v>
      </c>
    </row>
    <row r="15" spans="1:7" x14ac:dyDescent="0.2">
      <c r="A15" s="11">
        <v>46303</v>
      </c>
      <c r="B15" s="12">
        <v>0.57982638888888893</v>
      </c>
      <c r="C15">
        <v>8.3945310000000006</v>
      </c>
      <c r="D15">
        <v>496</v>
      </c>
      <c r="E15" t="s">
        <v>36</v>
      </c>
      <c r="F15" s="13">
        <v>0.53</v>
      </c>
      <c r="G15" t="s">
        <v>28</v>
      </c>
    </row>
    <row r="16" spans="1:7" x14ac:dyDescent="0.2">
      <c r="A16" s="11">
        <v>46303</v>
      </c>
      <c r="B16" s="12">
        <v>0.57982638888888893</v>
      </c>
      <c r="C16">
        <v>8.9101560000000006</v>
      </c>
      <c r="D16">
        <v>498</v>
      </c>
      <c r="E16" t="s">
        <v>17</v>
      </c>
      <c r="F16" t="s">
        <v>17</v>
      </c>
      <c r="G16" t="s">
        <v>17</v>
      </c>
    </row>
    <row r="17" spans="1:7" x14ac:dyDescent="0.2">
      <c r="A17" s="11">
        <v>46303</v>
      </c>
      <c r="B17" s="12">
        <v>0.57983796296296297</v>
      </c>
      <c r="C17">
        <v>9.4101560000000006</v>
      </c>
      <c r="D17">
        <v>496</v>
      </c>
      <c r="E17" t="s">
        <v>17</v>
      </c>
      <c r="F17" t="s">
        <v>17</v>
      </c>
      <c r="G17" t="s">
        <v>17</v>
      </c>
    </row>
    <row r="18" spans="1:7" x14ac:dyDescent="0.2">
      <c r="A18" s="11">
        <v>46303</v>
      </c>
      <c r="B18" s="12">
        <v>0.57983796296296297</v>
      </c>
      <c r="C18">
        <v>9.9101560000000006</v>
      </c>
      <c r="D18">
        <v>500</v>
      </c>
      <c r="E18" t="s">
        <v>17</v>
      </c>
      <c r="F18" t="s">
        <v>17</v>
      </c>
      <c r="G18" t="s">
        <v>17</v>
      </c>
    </row>
    <row r="19" spans="1:7" x14ac:dyDescent="0.2">
      <c r="A19" s="11">
        <v>46303</v>
      </c>
      <c r="B19" s="12">
        <v>0.57984953703703701</v>
      </c>
      <c r="C19">
        <v>10.410159999999999</v>
      </c>
      <c r="D19">
        <v>496</v>
      </c>
      <c r="E19" t="s">
        <v>17</v>
      </c>
      <c r="F19" t="s">
        <v>17</v>
      </c>
      <c r="G19" t="s">
        <v>17</v>
      </c>
    </row>
    <row r="20" spans="1:7" x14ac:dyDescent="0.2">
      <c r="A20" s="11">
        <v>46303</v>
      </c>
      <c r="B20" s="12">
        <v>0.57986111111111116</v>
      </c>
      <c r="C20">
        <v>11.42578</v>
      </c>
      <c r="D20">
        <v>499</v>
      </c>
      <c r="E20" t="s">
        <v>40</v>
      </c>
      <c r="F20" t="s">
        <v>40</v>
      </c>
      <c r="G20">
        <v>-237</v>
      </c>
    </row>
    <row r="21" spans="1:7" x14ac:dyDescent="0.2">
      <c r="A21" s="11">
        <v>46303</v>
      </c>
      <c r="B21" s="12">
        <v>0.57986111111111116</v>
      </c>
      <c r="C21">
        <v>11.95703</v>
      </c>
      <c r="D21">
        <v>500</v>
      </c>
      <c r="E21" t="s">
        <v>40</v>
      </c>
      <c r="F21" t="s">
        <v>40</v>
      </c>
      <c r="G21">
        <v>4112</v>
      </c>
    </row>
    <row r="22" spans="1:7" x14ac:dyDescent="0.2">
      <c r="D22" s="4">
        <f>AVERAGE(D2:D21)</f>
        <v>500.15</v>
      </c>
    </row>
    <row r="23" spans="1:7" x14ac:dyDescent="0.2">
      <c r="D23" s="4">
        <f>91*(1023-D22)/D22</f>
        <v>95.130160951714487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18F0A-7742-4C76-9F5E-4F76372151EE}">
  <sheetPr codeName="工作表12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0.58146990740740745</v>
      </c>
      <c r="C2" s="6">
        <v>1.8046880000000001</v>
      </c>
      <c r="D2" s="4">
        <v>506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0.58146990740740745</v>
      </c>
      <c r="C3" s="6">
        <v>2.2734380000000001</v>
      </c>
      <c r="D3" s="4">
        <v>506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0.58148148148148149</v>
      </c>
      <c r="C4" s="6">
        <v>2.7734380000000001</v>
      </c>
      <c r="D4" s="4">
        <v>509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0.58148148148148149</v>
      </c>
      <c r="C5" s="6">
        <v>3.2890630000000001</v>
      </c>
      <c r="D5" s="4">
        <v>508</v>
      </c>
      <c r="E5" s="4" t="s">
        <v>40</v>
      </c>
      <c r="F5" s="4" t="s">
        <v>40</v>
      </c>
      <c r="G5" s="4">
        <v>21</v>
      </c>
    </row>
    <row r="6" spans="1:7" x14ac:dyDescent="0.2">
      <c r="A6" s="8">
        <v>46303</v>
      </c>
      <c r="B6" s="9">
        <v>0.58149305555555553</v>
      </c>
      <c r="C6" s="6">
        <v>3.8203130000000001</v>
      </c>
      <c r="D6" s="4">
        <v>511</v>
      </c>
      <c r="E6" s="4" t="s">
        <v>40</v>
      </c>
      <c r="F6" s="4" t="s">
        <v>40</v>
      </c>
      <c r="G6" s="4">
        <v>4112</v>
      </c>
    </row>
    <row r="7" spans="1:7" x14ac:dyDescent="0.2">
      <c r="A7" s="8">
        <v>46303</v>
      </c>
      <c r="B7" s="9">
        <v>0.58150462962962968</v>
      </c>
      <c r="C7" s="6">
        <v>4.3320309999999997</v>
      </c>
      <c r="D7" s="4">
        <v>505</v>
      </c>
      <c r="E7" s="4" t="s">
        <v>40</v>
      </c>
      <c r="F7" s="4" t="s">
        <v>40</v>
      </c>
      <c r="G7" s="4">
        <v>4112</v>
      </c>
    </row>
    <row r="8" spans="1:7" x14ac:dyDescent="0.2">
      <c r="A8" s="8">
        <v>46303</v>
      </c>
      <c r="B8" s="9">
        <v>0.58150462962962968</v>
      </c>
      <c r="C8" s="6">
        <v>4.8789059999999997</v>
      </c>
      <c r="D8" s="4">
        <v>504</v>
      </c>
      <c r="E8" s="4" t="s">
        <v>36</v>
      </c>
      <c r="F8" s="10">
        <v>0.52</v>
      </c>
      <c r="G8" s="4" t="s">
        <v>28</v>
      </c>
    </row>
    <row r="9" spans="1:7" x14ac:dyDescent="0.2">
      <c r="A9" s="8">
        <v>46303</v>
      </c>
      <c r="B9" s="9">
        <v>0.58151620370370372</v>
      </c>
      <c r="C9" s="6">
        <v>5.3984379999999996</v>
      </c>
      <c r="D9" s="4">
        <v>504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0.58151620370370372</v>
      </c>
      <c r="C10" s="6">
        <v>5.8984379999999996</v>
      </c>
      <c r="D10" s="4">
        <v>509</v>
      </c>
      <c r="E10" s="4" t="s">
        <v>17</v>
      </c>
      <c r="F10" s="4" t="s">
        <v>17</v>
      </c>
      <c r="G10" s="4" t="s">
        <v>17</v>
      </c>
    </row>
    <row r="11" spans="1:7" x14ac:dyDescent="0.2">
      <c r="A11" s="8">
        <v>46303</v>
      </c>
      <c r="B11" s="9">
        <v>0.58152777777777775</v>
      </c>
      <c r="C11" s="6">
        <v>6.3984379999999996</v>
      </c>
      <c r="D11" s="4">
        <v>509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0.58152777777777775</v>
      </c>
      <c r="C12" s="6">
        <v>6.8945309999999997</v>
      </c>
      <c r="D12" s="4">
        <v>511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0.5815393518518519</v>
      </c>
      <c r="C13" s="6">
        <v>7.9101559999999997</v>
      </c>
      <c r="D13" s="4">
        <v>511</v>
      </c>
      <c r="E13" s="4" t="s">
        <v>40</v>
      </c>
      <c r="F13" s="4" t="s">
        <v>40</v>
      </c>
      <c r="G13" s="4">
        <v>-237</v>
      </c>
    </row>
    <row r="14" spans="1:7" x14ac:dyDescent="0.2">
      <c r="A14" s="8">
        <v>46303</v>
      </c>
      <c r="B14" s="9">
        <v>0.58155092592592594</v>
      </c>
      <c r="C14" s="6">
        <v>8.4414060000000006</v>
      </c>
      <c r="D14" s="4">
        <v>503</v>
      </c>
      <c r="E14" s="4" t="s">
        <v>40</v>
      </c>
      <c r="F14" s="4" t="s">
        <v>40</v>
      </c>
      <c r="G14" s="4">
        <v>4112</v>
      </c>
    </row>
    <row r="15" spans="1:7" x14ac:dyDescent="0.2">
      <c r="A15" s="8">
        <v>46303</v>
      </c>
      <c r="B15" s="9">
        <v>0.58155092592592594</v>
      </c>
      <c r="C15" s="6">
        <v>8.9726560000000006</v>
      </c>
      <c r="D15" s="4">
        <v>511</v>
      </c>
      <c r="E15" s="4" t="s">
        <v>40</v>
      </c>
      <c r="F15" s="4" t="s">
        <v>40</v>
      </c>
      <c r="G15" s="4">
        <v>21</v>
      </c>
    </row>
    <row r="16" spans="1:7" x14ac:dyDescent="0.2">
      <c r="A16" s="8">
        <v>46303</v>
      </c>
      <c r="B16" s="9">
        <v>0.58156249999999998</v>
      </c>
      <c r="C16" s="6">
        <v>9.5039060000000006</v>
      </c>
      <c r="D16" s="4">
        <v>505</v>
      </c>
      <c r="E16" s="4" t="s">
        <v>40</v>
      </c>
      <c r="F16" s="4" t="s">
        <v>40</v>
      </c>
      <c r="G16" s="4">
        <v>4112</v>
      </c>
    </row>
    <row r="17" spans="1:7" x14ac:dyDescent="0.2">
      <c r="A17" s="8">
        <v>46303</v>
      </c>
      <c r="B17" s="9">
        <v>0.58156249999999998</v>
      </c>
      <c r="C17" s="6">
        <v>10.01953</v>
      </c>
      <c r="D17" s="4">
        <v>512</v>
      </c>
      <c r="E17" s="4" t="s">
        <v>40</v>
      </c>
      <c r="F17" s="4" t="s">
        <v>40</v>
      </c>
      <c r="G17" s="4">
        <v>4112</v>
      </c>
    </row>
    <row r="18" spans="1:7" x14ac:dyDescent="0.2">
      <c r="A18" s="8">
        <v>46303</v>
      </c>
      <c r="B18" s="9">
        <v>0.58157407407407402</v>
      </c>
      <c r="C18" s="6">
        <v>10.566409999999999</v>
      </c>
      <c r="D18" s="4">
        <v>506</v>
      </c>
      <c r="E18" s="4" t="s">
        <v>40</v>
      </c>
      <c r="F18" s="4" t="s">
        <v>40</v>
      </c>
      <c r="G18" s="4">
        <v>21</v>
      </c>
    </row>
    <row r="19" spans="1:7" x14ac:dyDescent="0.2">
      <c r="A19" s="8">
        <v>46303</v>
      </c>
      <c r="B19" s="9">
        <v>0.58157407407407402</v>
      </c>
      <c r="C19" s="6">
        <v>11.08203</v>
      </c>
      <c r="D19" s="4">
        <v>510</v>
      </c>
      <c r="E19" s="4" t="s">
        <v>40</v>
      </c>
      <c r="F19" s="4" t="s">
        <v>40</v>
      </c>
      <c r="G19" s="4">
        <v>4112</v>
      </c>
    </row>
    <row r="20" spans="1:7" x14ac:dyDescent="0.2">
      <c r="A20" s="8">
        <v>46303</v>
      </c>
      <c r="B20" s="9">
        <v>0.58158564814814817</v>
      </c>
      <c r="C20" s="6">
        <v>11.61328</v>
      </c>
      <c r="D20" s="4">
        <v>509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0.58158564814814817</v>
      </c>
      <c r="C21" s="6">
        <v>12.14453</v>
      </c>
      <c r="D21" s="4">
        <v>511</v>
      </c>
      <c r="E21" s="4" t="s">
        <v>37</v>
      </c>
      <c r="F21" s="10">
        <v>0.52</v>
      </c>
      <c r="G21" s="4" t="s">
        <v>28</v>
      </c>
    </row>
    <row r="22" spans="1:7" x14ac:dyDescent="0.2">
      <c r="D22" s="4">
        <f>AVERAGE(D2:D21)</f>
        <v>508</v>
      </c>
    </row>
    <row r="23" spans="1:7" x14ac:dyDescent="0.2">
      <c r="D23" s="4">
        <f>91*(1023-D22)/D22</f>
        <v>92.253937007874015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8E45D-15D3-4CED-9274-85339CB4A3AD}">
  <sheetPr codeName="工作表13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0.58247685185185183</v>
      </c>
      <c r="C2" s="6">
        <v>1.8125</v>
      </c>
      <c r="D2" s="4">
        <v>519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0.58248842592592598</v>
      </c>
      <c r="C3" s="6">
        <v>2.28125</v>
      </c>
      <c r="D3" s="4">
        <v>515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0.58248842592592598</v>
      </c>
      <c r="C4" s="6">
        <v>2.78125</v>
      </c>
      <c r="D4" s="4">
        <v>518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0.58250000000000002</v>
      </c>
      <c r="C5" s="6">
        <v>3.296875</v>
      </c>
      <c r="D5" s="4">
        <v>515</v>
      </c>
      <c r="E5" s="4" t="s">
        <v>37</v>
      </c>
      <c r="F5" s="10">
        <v>0.52</v>
      </c>
      <c r="G5" s="4" t="s">
        <v>28</v>
      </c>
    </row>
    <row r="6" spans="1:7" x14ac:dyDescent="0.2">
      <c r="A6" s="8">
        <v>46303</v>
      </c>
      <c r="B6" s="9">
        <v>0.58250000000000002</v>
      </c>
      <c r="C6" s="6">
        <v>3.828125</v>
      </c>
      <c r="D6" s="4">
        <v>513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0.58251157407407406</v>
      </c>
      <c r="C7" s="6">
        <v>4.328125</v>
      </c>
      <c r="D7" s="4">
        <v>514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0.58251157407407406</v>
      </c>
      <c r="C8" s="6">
        <v>4.828125</v>
      </c>
      <c r="D8" s="4">
        <v>515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0.5825231481481481</v>
      </c>
      <c r="C9" s="6">
        <v>5.328125</v>
      </c>
      <c r="D9" s="4">
        <v>514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0.5825231481481481</v>
      </c>
      <c r="C10" s="6">
        <v>5.8398440000000003</v>
      </c>
      <c r="D10" s="4">
        <v>513</v>
      </c>
      <c r="E10" s="4" t="s">
        <v>37</v>
      </c>
      <c r="F10" s="10">
        <v>0.52</v>
      </c>
      <c r="G10" s="4" t="s">
        <v>28</v>
      </c>
    </row>
    <row r="11" spans="1:7" x14ac:dyDescent="0.2">
      <c r="A11" s="8">
        <v>46303</v>
      </c>
      <c r="B11" s="9">
        <v>0.58253472222222225</v>
      </c>
      <c r="C11" s="6">
        <v>6.359375</v>
      </c>
      <c r="D11" s="4">
        <v>518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0.58253472222222225</v>
      </c>
      <c r="C12" s="6">
        <v>6.859375</v>
      </c>
      <c r="D12" s="4">
        <v>519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0.58254629629629628</v>
      </c>
      <c r="C13" s="6">
        <v>7.3710940000000003</v>
      </c>
      <c r="D13" s="4">
        <v>518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0.58254629629629628</v>
      </c>
      <c r="C14" s="6">
        <v>7.8710940000000003</v>
      </c>
      <c r="D14" s="4">
        <v>517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0.58255787037037032</v>
      </c>
      <c r="C15" s="6">
        <v>8.8867189999999994</v>
      </c>
      <c r="D15" s="4">
        <v>518</v>
      </c>
      <c r="E15" s="4" t="s">
        <v>40</v>
      </c>
      <c r="F15" s="4" t="s">
        <v>40</v>
      </c>
      <c r="G15" s="4">
        <v>-237</v>
      </c>
    </row>
    <row r="16" spans="1:7" x14ac:dyDescent="0.2">
      <c r="A16" s="8">
        <v>46303</v>
      </c>
      <c r="B16" s="9">
        <v>0.58256944444444447</v>
      </c>
      <c r="C16" s="6">
        <v>9.4023439999999994</v>
      </c>
      <c r="D16" s="4">
        <v>519</v>
      </c>
      <c r="E16" s="4" t="s">
        <v>40</v>
      </c>
      <c r="F16" s="4" t="s">
        <v>40</v>
      </c>
      <c r="G16" s="4">
        <v>4112</v>
      </c>
    </row>
    <row r="17" spans="1:7" x14ac:dyDescent="0.2">
      <c r="A17" s="8">
        <v>46303</v>
      </c>
      <c r="B17" s="9">
        <v>0.58258101851851851</v>
      </c>
      <c r="C17" s="6">
        <v>9.9492189999999994</v>
      </c>
      <c r="D17" s="4">
        <v>519</v>
      </c>
      <c r="E17" s="4" t="s">
        <v>37</v>
      </c>
      <c r="F17" s="10">
        <v>0.52</v>
      </c>
      <c r="G17" s="4" t="s">
        <v>28</v>
      </c>
    </row>
    <row r="18" spans="1:7" x14ac:dyDescent="0.2">
      <c r="A18" s="8">
        <v>46303</v>
      </c>
      <c r="B18" s="9">
        <v>0.58258101851851851</v>
      </c>
      <c r="C18" s="6">
        <v>10.464840000000001</v>
      </c>
      <c r="D18" s="4">
        <v>517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0.58259259259259255</v>
      </c>
      <c r="C19" s="6">
        <v>10.964840000000001</v>
      </c>
      <c r="D19" s="4">
        <v>515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0.58259259259259255</v>
      </c>
      <c r="C20" s="6">
        <v>11.464840000000001</v>
      </c>
      <c r="D20" s="4">
        <v>518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46303</v>
      </c>
      <c r="B21" s="9">
        <v>0.5826041666666667</v>
      </c>
      <c r="C21" s="6">
        <v>11.964840000000001</v>
      </c>
      <c r="D21" s="4">
        <v>518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516.6</v>
      </c>
    </row>
    <row r="23" spans="1:7" x14ac:dyDescent="0.2">
      <c r="D23" s="4">
        <f>91*(1023-D22)/D22</f>
        <v>89.203252032520325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63D8B-F615-4AE2-8882-D47EFD572013}">
  <sheetPr codeName="工作表14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0.58362268518518523</v>
      </c>
      <c r="C2" s="6">
        <v>1.796875</v>
      </c>
      <c r="D2" s="4">
        <v>527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0.58363425925925927</v>
      </c>
      <c r="C3" s="6">
        <v>2.28125</v>
      </c>
      <c r="D3" s="4">
        <v>527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0.58363425925925927</v>
      </c>
      <c r="C4" s="6">
        <v>2.78125</v>
      </c>
      <c r="D4" s="4">
        <v>528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0.58364583333333331</v>
      </c>
      <c r="C5" s="6">
        <v>3.296875</v>
      </c>
      <c r="D5" s="4">
        <v>530</v>
      </c>
      <c r="E5" s="4" t="s">
        <v>40</v>
      </c>
      <c r="F5" s="4" t="s">
        <v>40</v>
      </c>
      <c r="G5" s="4">
        <v>21</v>
      </c>
    </row>
    <row r="6" spans="1:7" x14ac:dyDescent="0.2">
      <c r="A6" s="8">
        <v>46303</v>
      </c>
      <c r="B6" s="9">
        <v>0.58364583333333331</v>
      </c>
      <c r="C6" s="6">
        <v>3.828125</v>
      </c>
      <c r="D6" s="4">
        <v>528</v>
      </c>
      <c r="E6" s="4" t="s">
        <v>40</v>
      </c>
      <c r="F6" s="4" t="s">
        <v>40</v>
      </c>
      <c r="G6" s="4">
        <v>4112</v>
      </c>
    </row>
    <row r="7" spans="1:7" x14ac:dyDescent="0.2">
      <c r="A7" s="8">
        <v>46303</v>
      </c>
      <c r="B7" s="9">
        <v>0.58365740740740746</v>
      </c>
      <c r="C7" s="6">
        <v>4.34375</v>
      </c>
      <c r="D7" s="4">
        <v>531</v>
      </c>
      <c r="E7" s="4" t="s">
        <v>40</v>
      </c>
      <c r="F7" s="4" t="s">
        <v>40</v>
      </c>
      <c r="G7" s="4">
        <v>4112</v>
      </c>
    </row>
    <row r="8" spans="1:7" x14ac:dyDescent="0.2">
      <c r="A8" s="8">
        <v>46303</v>
      </c>
      <c r="B8" s="9">
        <v>0.58365740740740746</v>
      </c>
      <c r="C8" s="6">
        <v>4.875</v>
      </c>
      <c r="D8" s="4">
        <v>531</v>
      </c>
      <c r="E8" s="4" t="s">
        <v>40</v>
      </c>
      <c r="F8" s="4" t="s">
        <v>40</v>
      </c>
      <c r="G8" s="4">
        <v>21</v>
      </c>
    </row>
    <row r="9" spans="1:7" x14ac:dyDescent="0.2">
      <c r="A9" s="8">
        <v>46303</v>
      </c>
      <c r="B9" s="9">
        <v>0.5836689814814815</v>
      </c>
      <c r="C9" s="6">
        <v>5.40625</v>
      </c>
      <c r="D9" s="4">
        <v>533</v>
      </c>
      <c r="E9" s="4" t="s">
        <v>40</v>
      </c>
      <c r="F9" s="4" t="s">
        <v>40</v>
      </c>
      <c r="G9" s="4">
        <v>4112</v>
      </c>
    </row>
    <row r="10" spans="1:7" x14ac:dyDescent="0.2">
      <c r="A10" s="8">
        <v>46303</v>
      </c>
      <c r="B10" s="9">
        <v>0.5836689814814815</v>
      </c>
      <c r="C10" s="6">
        <v>5.921875</v>
      </c>
      <c r="D10" s="4">
        <v>531</v>
      </c>
      <c r="E10" s="4" t="s">
        <v>40</v>
      </c>
      <c r="F10" s="4" t="s">
        <v>40</v>
      </c>
      <c r="G10" s="4">
        <v>4112</v>
      </c>
    </row>
    <row r="11" spans="1:7" x14ac:dyDescent="0.2">
      <c r="A11" s="8">
        <v>46303</v>
      </c>
      <c r="B11" s="9">
        <v>0.58368055555555554</v>
      </c>
      <c r="C11" s="6">
        <v>6.46875</v>
      </c>
      <c r="D11" s="4">
        <v>528</v>
      </c>
      <c r="E11" s="4" t="s">
        <v>37</v>
      </c>
      <c r="F11" s="10">
        <v>0.52</v>
      </c>
      <c r="G11" s="4" t="s">
        <v>28</v>
      </c>
    </row>
    <row r="12" spans="1:7" x14ac:dyDescent="0.2">
      <c r="A12" s="8">
        <v>46303</v>
      </c>
      <c r="B12" s="9">
        <v>0.58368055555555554</v>
      </c>
      <c r="C12" s="6">
        <v>6.984375</v>
      </c>
      <c r="D12" s="4">
        <v>526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0.58369212962962957</v>
      </c>
      <c r="C13" s="6">
        <v>7.484375</v>
      </c>
      <c r="D13" s="4">
        <v>534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0.58369212962962957</v>
      </c>
      <c r="C14" s="6">
        <v>7.984375</v>
      </c>
      <c r="D14" s="4">
        <v>528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0.58370370370370372</v>
      </c>
      <c r="C15" s="6">
        <v>8.484375</v>
      </c>
      <c r="D15" s="4">
        <v>533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0.58370370370370372</v>
      </c>
      <c r="C16" s="6">
        <v>9</v>
      </c>
      <c r="D16" s="4">
        <v>533</v>
      </c>
      <c r="E16" s="4" t="s">
        <v>37</v>
      </c>
      <c r="F16" s="10">
        <v>0.52</v>
      </c>
      <c r="G16" s="4" t="s">
        <v>28</v>
      </c>
    </row>
    <row r="17" spans="1:7" x14ac:dyDescent="0.2">
      <c r="A17" s="8">
        <v>46303</v>
      </c>
      <c r="B17" s="9">
        <v>0.58371527777777776</v>
      </c>
      <c r="C17" s="6">
        <v>9.53125</v>
      </c>
      <c r="D17" s="4">
        <v>527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0.58371527777777776</v>
      </c>
      <c r="C18" s="6">
        <v>10.03125</v>
      </c>
      <c r="D18" s="4">
        <v>532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0.5837268518518518</v>
      </c>
      <c r="C19" s="6">
        <v>10.53125</v>
      </c>
      <c r="D19" s="4">
        <v>532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0.5837268518518518</v>
      </c>
      <c r="C20" s="6">
        <v>11.03125</v>
      </c>
      <c r="D20" s="4">
        <v>526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46303</v>
      </c>
      <c r="B21" s="9">
        <v>0.58373842592592595</v>
      </c>
      <c r="C21" s="6">
        <v>11.54688</v>
      </c>
      <c r="D21" s="4">
        <v>533</v>
      </c>
      <c r="E21" s="4" t="s">
        <v>40</v>
      </c>
      <c r="F21" s="4" t="s">
        <v>40</v>
      </c>
      <c r="G21" s="4">
        <v>21</v>
      </c>
    </row>
    <row r="22" spans="1:7" x14ac:dyDescent="0.2">
      <c r="D22" s="4">
        <f>AVERAGE(D2:D21)</f>
        <v>529.9</v>
      </c>
    </row>
    <row r="23" spans="1:7" x14ac:dyDescent="0.2">
      <c r="D23" s="4">
        <f>91*(1023-D22)/D22</f>
        <v>84.680317040951124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D61B-4A90-452E-AC6E-D16E714358FF}">
  <sheetPr codeName="工作表15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0.58988425925925925</v>
      </c>
      <c r="C2" s="6">
        <v>1.8125</v>
      </c>
      <c r="D2" s="4">
        <v>806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0.58989583333333329</v>
      </c>
      <c r="C3" s="6">
        <v>2.28125</v>
      </c>
      <c r="D3" s="4">
        <v>807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0.58989583333333329</v>
      </c>
      <c r="C4" s="6">
        <v>2.78125</v>
      </c>
      <c r="D4" s="4">
        <v>804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0.58990740740740744</v>
      </c>
      <c r="C5" s="6">
        <v>3.296875</v>
      </c>
      <c r="D5" s="4">
        <v>802</v>
      </c>
      <c r="E5" s="4" t="s">
        <v>37</v>
      </c>
      <c r="F5" s="10">
        <v>0.53</v>
      </c>
      <c r="G5" s="4" t="s">
        <v>28</v>
      </c>
    </row>
    <row r="6" spans="1:7" x14ac:dyDescent="0.2">
      <c r="A6" s="8">
        <v>46303</v>
      </c>
      <c r="B6" s="9">
        <v>0.58990740740740744</v>
      </c>
      <c r="C6" s="6">
        <v>3.828125</v>
      </c>
      <c r="D6" s="4">
        <v>803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0.58991898148148147</v>
      </c>
      <c r="C7" s="6">
        <v>4.328125</v>
      </c>
      <c r="D7" s="4">
        <v>802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0.58991898148148147</v>
      </c>
      <c r="C8" s="6">
        <v>4.828125</v>
      </c>
      <c r="D8" s="4">
        <v>799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0.58993055555555551</v>
      </c>
      <c r="C9" s="6">
        <v>5.3242190000000003</v>
      </c>
      <c r="D9" s="4">
        <v>797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0.58994212962962966</v>
      </c>
      <c r="C10" s="6">
        <v>6.34375</v>
      </c>
      <c r="D10" s="4">
        <v>799</v>
      </c>
      <c r="E10" s="4" t="s">
        <v>40</v>
      </c>
      <c r="F10" s="4" t="s">
        <v>40</v>
      </c>
      <c r="G10" s="4">
        <v>-237</v>
      </c>
    </row>
    <row r="11" spans="1:7" x14ac:dyDescent="0.2">
      <c r="A11" s="8">
        <v>46303</v>
      </c>
      <c r="B11" s="9">
        <v>0.5899537037037037</v>
      </c>
      <c r="C11" s="6">
        <v>6.8710940000000003</v>
      </c>
      <c r="D11" s="4">
        <v>795</v>
      </c>
      <c r="E11" s="4" t="s">
        <v>40</v>
      </c>
      <c r="F11" s="4" t="s">
        <v>40</v>
      </c>
      <c r="G11" s="4">
        <v>3088</v>
      </c>
    </row>
    <row r="12" spans="1:7" x14ac:dyDescent="0.2">
      <c r="A12" s="8">
        <v>46303</v>
      </c>
      <c r="B12" s="9">
        <v>0.58996527777777774</v>
      </c>
      <c r="C12" s="6">
        <v>7.9023440000000003</v>
      </c>
      <c r="D12" s="4">
        <v>799</v>
      </c>
      <c r="E12" s="4" t="s">
        <v>40</v>
      </c>
      <c r="F12" s="4" t="s">
        <v>40</v>
      </c>
      <c r="G12" s="4">
        <v>-237</v>
      </c>
    </row>
    <row r="13" spans="1:7" x14ac:dyDescent="0.2">
      <c r="A13" s="8">
        <v>46303</v>
      </c>
      <c r="B13" s="9">
        <v>0.58996527777777774</v>
      </c>
      <c r="C13" s="6">
        <v>8.421875</v>
      </c>
      <c r="D13" s="4">
        <v>794</v>
      </c>
      <c r="E13" s="4" t="s">
        <v>40</v>
      </c>
      <c r="F13" s="4" t="s">
        <v>40</v>
      </c>
      <c r="G13" s="4">
        <v>4112</v>
      </c>
    </row>
    <row r="14" spans="1:7" x14ac:dyDescent="0.2">
      <c r="A14" s="8">
        <v>46303</v>
      </c>
      <c r="B14" s="9">
        <v>0.58997685185185189</v>
      </c>
      <c r="C14" s="6">
        <v>8.9648439999999994</v>
      </c>
      <c r="D14" s="4">
        <v>794</v>
      </c>
      <c r="E14" s="4" t="s">
        <v>37</v>
      </c>
      <c r="F14" s="10">
        <v>0.53</v>
      </c>
      <c r="G14" s="4" t="s">
        <v>28</v>
      </c>
    </row>
    <row r="15" spans="1:7" x14ac:dyDescent="0.2">
      <c r="A15" s="8">
        <v>46303</v>
      </c>
      <c r="B15" s="9">
        <v>0.58997685185185189</v>
      </c>
      <c r="C15" s="6">
        <v>9.4804689999999994</v>
      </c>
      <c r="D15" s="4">
        <v>792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0.58998842592592593</v>
      </c>
      <c r="C16" s="6">
        <v>9.9921880000000005</v>
      </c>
      <c r="D16" s="4">
        <v>795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0.58998842592592593</v>
      </c>
      <c r="C17" s="6">
        <v>10.492190000000001</v>
      </c>
      <c r="D17" s="4">
        <v>792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0.59</v>
      </c>
      <c r="C18" s="6">
        <v>10.992190000000001</v>
      </c>
      <c r="D18" s="4">
        <v>791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0.59</v>
      </c>
      <c r="C19" s="6">
        <v>11.507809999999999</v>
      </c>
      <c r="D19" s="4">
        <v>794</v>
      </c>
      <c r="E19" s="4" t="s">
        <v>37</v>
      </c>
      <c r="F19" s="10">
        <v>0.53</v>
      </c>
      <c r="G19" s="4" t="s">
        <v>28</v>
      </c>
    </row>
    <row r="20" spans="1:7" x14ac:dyDescent="0.2">
      <c r="A20" s="8">
        <v>46303</v>
      </c>
      <c r="B20" s="9">
        <v>0.59001157407407412</v>
      </c>
      <c r="C20" s="6">
        <v>12.039059999999999</v>
      </c>
      <c r="D20" s="4">
        <v>793</v>
      </c>
      <c r="E20" s="4" t="s">
        <v>17</v>
      </c>
      <c r="F20" s="4" t="s">
        <v>17</v>
      </c>
      <c r="G20" s="4" t="s">
        <v>17</v>
      </c>
    </row>
    <row r="21" spans="1:7" x14ac:dyDescent="0.2">
      <c r="A21" s="8">
        <v>46303</v>
      </c>
      <c r="B21" s="9">
        <v>0.59001157407407412</v>
      </c>
      <c r="C21" s="6">
        <v>12.527340000000001</v>
      </c>
      <c r="D21" s="4">
        <v>793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797.55</v>
      </c>
    </row>
    <row r="23" spans="1:7" x14ac:dyDescent="0.2">
      <c r="D23" s="4">
        <f>91*(1023-D22)/D22</f>
        <v>25.7237163814181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1F8FA-BC8A-4E99-8529-D85A1729FC17}">
  <sheetPr codeName="工作表16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0.59097222222222223</v>
      </c>
      <c r="C2" s="6">
        <v>1.796875</v>
      </c>
      <c r="D2" s="4">
        <v>776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0.59097222222222223</v>
      </c>
      <c r="C3" s="6">
        <v>2.2851560000000002</v>
      </c>
      <c r="D3" s="4">
        <v>776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0.59098379629629627</v>
      </c>
      <c r="C4" s="6">
        <v>2.7851560000000002</v>
      </c>
      <c r="D4" s="4">
        <v>778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0.59098379629629627</v>
      </c>
      <c r="C5" s="6">
        <v>3.296875</v>
      </c>
      <c r="D5" s="4">
        <v>778</v>
      </c>
      <c r="E5" s="4" t="s">
        <v>37</v>
      </c>
      <c r="F5" s="10">
        <v>0.53</v>
      </c>
      <c r="G5" s="4" t="s">
        <v>28</v>
      </c>
    </row>
    <row r="6" spans="1:7" x14ac:dyDescent="0.2">
      <c r="A6" s="8">
        <v>46303</v>
      </c>
      <c r="B6" s="9">
        <v>0.59099537037037042</v>
      </c>
      <c r="C6" s="6">
        <v>3.8164060000000002</v>
      </c>
      <c r="D6" s="4">
        <v>775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0.59099537037037042</v>
      </c>
      <c r="C7" s="6">
        <v>4.3164059999999997</v>
      </c>
      <c r="D7" s="4">
        <v>778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0.59100694444444446</v>
      </c>
      <c r="C8" s="6">
        <v>4.8164059999999997</v>
      </c>
      <c r="D8" s="4">
        <v>777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0.59100694444444446</v>
      </c>
      <c r="C9" s="6">
        <v>5.3242190000000003</v>
      </c>
      <c r="D9" s="4">
        <v>777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0.5910185185185185</v>
      </c>
      <c r="C10" s="6">
        <v>6.3476559999999997</v>
      </c>
      <c r="D10" s="4">
        <v>780</v>
      </c>
      <c r="E10" s="4" t="s">
        <v>40</v>
      </c>
      <c r="F10" s="4" t="s">
        <v>40</v>
      </c>
      <c r="G10" s="4">
        <v>-237</v>
      </c>
    </row>
    <row r="11" spans="1:7" x14ac:dyDescent="0.2">
      <c r="A11" s="8">
        <v>46303</v>
      </c>
      <c r="B11" s="9">
        <v>0.59103009259259254</v>
      </c>
      <c r="C11" s="6">
        <v>6.8632809999999997</v>
      </c>
      <c r="D11" s="4">
        <v>780</v>
      </c>
      <c r="E11" s="4" t="s">
        <v>40</v>
      </c>
      <c r="F11" s="4" t="s">
        <v>40</v>
      </c>
      <c r="G11" s="4">
        <v>4112</v>
      </c>
    </row>
    <row r="12" spans="1:7" x14ac:dyDescent="0.2">
      <c r="A12" s="8">
        <v>46303</v>
      </c>
      <c r="B12" s="9">
        <v>0.59104166666666669</v>
      </c>
      <c r="C12" s="6">
        <v>7.8945309999999997</v>
      </c>
      <c r="D12" s="4">
        <v>779</v>
      </c>
      <c r="E12" s="4" t="s">
        <v>40</v>
      </c>
      <c r="F12" s="4" t="s">
        <v>40</v>
      </c>
      <c r="G12" s="4">
        <v>-237</v>
      </c>
    </row>
    <row r="13" spans="1:7" x14ac:dyDescent="0.2">
      <c r="A13" s="8">
        <v>46303</v>
      </c>
      <c r="B13" s="9">
        <v>0.59104166666666669</v>
      </c>
      <c r="C13" s="6">
        <v>8.4570310000000006</v>
      </c>
      <c r="D13" s="4">
        <v>777</v>
      </c>
      <c r="E13" s="4" t="s">
        <v>40</v>
      </c>
      <c r="F13" s="4" t="s">
        <v>40</v>
      </c>
      <c r="G13" s="4">
        <v>4112</v>
      </c>
    </row>
    <row r="14" spans="1:7" x14ac:dyDescent="0.2">
      <c r="A14" s="8">
        <v>46303</v>
      </c>
      <c r="B14" s="9">
        <v>0.59105324074074073</v>
      </c>
      <c r="C14" s="6">
        <v>8.9726560000000006</v>
      </c>
      <c r="D14" s="4">
        <v>780</v>
      </c>
      <c r="E14" s="4" t="s">
        <v>37</v>
      </c>
      <c r="F14" s="10">
        <v>0.53</v>
      </c>
      <c r="G14" s="4" t="s">
        <v>28</v>
      </c>
    </row>
    <row r="15" spans="1:7" x14ac:dyDescent="0.2">
      <c r="A15" s="8">
        <v>46303</v>
      </c>
      <c r="B15" s="9">
        <v>0.59105324074074073</v>
      </c>
      <c r="C15" s="6">
        <v>9.4882810000000006</v>
      </c>
      <c r="D15" s="4">
        <v>780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0.59106481481481477</v>
      </c>
      <c r="C16" s="6">
        <v>9.9804689999999994</v>
      </c>
      <c r="D16" s="4">
        <v>780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0.59106481481481477</v>
      </c>
      <c r="C17" s="6">
        <v>10.48438</v>
      </c>
      <c r="D17" s="4">
        <v>779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0.59107638888888892</v>
      </c>
      <c r="C18" s="6">
        <v>10.98047</v>
      </c>
      <c r="D18" s="4">
        <v>779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0.59108796296296295</v>
      </c>
      <c r="C19" s="6">
        <v>12.007809999999999</v>
      </c>
      <c r="D19" s="4">
        <v>778</v>
      </c>
      <c r="E19" s="4" t="s">
        <v>40</v>
      </c>
      <c r="F19" s="4" t="s">
        <v>40</v>
      </c>
      <c r="G19" s="4">
        <v>-237</v>
      </c>
    </row>
    <row r="20" spans="1:7" x14ac:dyDescent="0.2">
      <c r="A20" s="8">
        <v>46303</v>
      </c>
      <c r="B20" s="9">
        <v>0.59109953703703699</v>
      </c>
      <c r="C20" s="6">
        <v>12.527340000000001</v>
      </c>
      <c r="D20" s="4">
        <v>780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0.59111111111111114</v>
      </c>
      <c r="C21" s="6">
        <v>13.57422</v>
      </c>
      <c r="D21" s="4">
        <v>780</v>
      </c>
      <c r="E21" s="4" t="s">
        <v>40</v>
      </c>
      <c r="F21" s="4" t="s">
        <v>40</v>
      </c>
      <c r="G21" s="4">
        <v>-237</v>
      </c>
    </row>
    <row r="22" spans="1:7" x14ac:dyDescent="0.2">
      <c r="A22" s="8"/>
      <c r="B22" s="8"/>
      <c r="C22" s="8"/>
      <c r="D22" s="4">
        <f>AVERAGE(D2:D21)</f>
        <v>778.35</v>
      </c>
      <c r="E22" s="8"/>
      <c r="F22" s="8"/>
      <c r="G22" s="8"/>
    </row>
    <row r="23" spans="1:7" x14ac:dyDescent="0.2">
      <c r="D23" s="4">
        <f>91*(1023-D22)/D22</f>
        <v>28.603006359606859</v>
      </c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7289-AAC8-458E-AD3A-81ECFC6D1819}">
  <sheetPr codeName="工作表17"/>
  <dimension ref="A1:G25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0.59256944444444448</v>
      </c>
      <c r="C2" s="6">
        <v>1.8125</v>
      </c>
      <c r="D2" s="4">
        <v>794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0.59258101851851852</v>
      </c>
      <c r="C3" s="6">
        <v>2.2773439999999998</v>
      </c>
      <c r="D3" s="4">
        <v>794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0.59258101851851852</v>
      </c>
      <c r="C4" s="6">
        <v>2.7773439999999998</v>
      </c>
      <c r="D4" s="4">
        <v>793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0.59259259259259256</v>
      </c>
      <c r="C5" s="6">
        <v>3.3125</v>
      </c>
      <c r="D5" s="4">
        <v>790</v>
      </c>
      <c r="E5" s="4" t="s">
        <v>37</v>
      </c>
      <c r="F5" s="10">
        <v>0.53</v>
      </c>
      <c r="G5" s="4" t="s">
        <v>28</v>
      </c>
    </row>
    <row r="6" spans="1:7" x14ac:dyDescent="0.2">
      <c r="A6" s="8">
        <v>46303</v>
      </c>
      <c r="B6" s="9">
        <v>0.59259259259259256</v>
      </c>
      <c r="C6" s="6">
        <v>3.8242189999999998</v>
      </c>
      <c r="D6" s="4">
        <v>790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0.59260416666666671</v>
      </c>
      <c r="C7" s="6">
        <v>4.34375</v>
      </c>
      <c r="D7" s="4">
        <v>789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0.59260416666666671</v>
      </c>
      <c r="C8" s="6">
        <v>4.8242190000000003</v>
      </c>
      <c r="D8" s="4">
        <v>788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0.59261574074074075</v>
      </c>
      <c r="C9" s="6">
        <v>5.3242190000000003</v>
      </c>
      <c r="D9" s="4">
        <v>790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0.59262731481481479</v>
      </c>
      <c r="C10" s="6">
        <v>6.34375</v>
      </c>
      <c r="D10" s="4">
        <v>789</v>
      </c>
      <c r="E10" s="4" t="s">
        <v>40</v>
      </c>
      <c r="F10" s="4" t="s">
        <v>40</v>
      </c>
      <c r="G10" s="4">
        <v>-237</v>
      </c>
    </row>
    <row r="11" spans="1:7" x14ac:dyDescent="0.2">
      <c r="A11" s="8">
        <v>46303</v>
      </c>
      <c r="B11" s="9">
        <v>0.59262731481481479</v>
      </c>
      <c r="C11" s="6">
        <v>6.8789059999999997</v>
      </c>
      <c r="D11" s="4">
        <v>787</v>
      </c>
      <c r="E11" s="4" t="s">
        <v>40</v>
      </c>
      <c r="F11" s="4" t="s">
        <v>40</v>
      </c>
      <c r="G11" s="4">
        <v>4112</v>
      </c>
    </row>
    <row r="12" spans="1:7" x14ac:dyDescent="0.2">
      <c r="A12" s="8">
        <v>46303</v>
      </c>
      <c r="B12" s="9">
        <v>0.59270833333333328</v>
      </c>
      <c r="C12" s="6">
        <v>12.9375</v>
      </c>
      <c r="D12" s="4">
        <v>786</v>
      </c>
      <c r="E12" s="4" t="s">
        <v>40</v>
      </c>
      <c r="F12" s="4" t="s">
        <v>40</v>
      </c>
      <c r="G12" s="4">
        <v>-237</v>
      </c>
    </row>
    <row r="13" spans="1:7" x14ac:dyDescent="0.2">
      <c r="A13" s="8">
        <v>46303</v>
      </c>
      <c r="B13" s="9">
        <v>0.59270833333333328</v>
      </c>
      <c r="C13" s="6">
        <v>12.9375</v>
      </c>
      <c r="D13" s="4">
        <v>788</v>
      </c>
      <c r="E13" s="4" t="s">
        <v>40</v>
      </c>
      <c r="F13" s="4" t="s">
        <v>40</v>
      </c>
      <c r="G13" s="4">
        <v>3088</v>
      </c>
    </row>
    <row r="14" spans="1:7" x14ac:dyDescent="0.2">
      <c r="A14" s="8">
        <v>46303</v>
      </c>
      <c r="B14" s="9">
        <v>0.59270833333333328</v>
      </c>
      <c r="C14" s="6">
        <v>12.95313</v>
      </c>
      <c r="D14" s="4">
        <v>787</v>
      </c>
      <c r="E14" s="4" t="s">
        <v>37</v>
      </c>
      <c r="F14" s="10">
        <v>0.53</v>
      </c>
      <c r="G14" s="4" t="s">
        <v>28</v>
      </c>
    </row>
    <row r="15" spans="1:7" x14ac:dyDescent="0.2">
      <c r="A15" s="8">
        <v>46303</v>
      </c>
      <c r="B15" s="9">
        <v>0.59270833333333328</v>
      </c>
      <c r="C15" s="6">
        <v>12.95313</v>
      </c>
      <c r="D15" s="4">
        <v>785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0.59270833333333328</v>
      </c>
      <c r="C16" s="6">
        <v>12.95313</v>
      </c>
      <c r="D16" s="4">
        <v>789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0.59270833333333328</v>
      </c>
      <c r="C17" s="6">
        <v>12.96875</v>
      </c>
      <c r="D17" s="4">
        <v>789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0.59270833333333328</v>
      </c>
      <c r="C18" s="6">
        <v>12.96875</v>
      </c>
      <c r="D18" s="4">
        <v>787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0.59270833333333328</v>
      </c>
      <c r="C19" s="6">
        <v>12.96875</v>
      </c>
      <c r="D19" s="4">
        <v>785</v>
      </c>
      <c r="E19" s="4" t="s">
        <v>40</v>
      </c>
      <c r="F19" s="4" t="s">
        <v>40</v>
      </c>
      <c r="G19" s="4">
        <v>-237</v>
      </c>
    </row>
    <row r="20" spans="1:7" x14ac:dyDescent="0.2">
      <c r="A20" s="8">
        <v>46303</v>
      </c>
      <c r="B20" s="9">
        <v>0.59270833333333328</v>
      </c>
      <c r="C20" s="6">
        <v>12.96875</v>
      </c>
      <c r="D20" s="4">
        <v>788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0.59270833333333328</v>
      </c>
      <c r="C21" s="6">
        <v>13.57422</v>
      </c>
      <c r="D21" s="4">
        <v>786</v>
      </c>
      <c r="E21" s="4" t="s">
        <v>40</v>
      </c>
      <c r="F21" s="4" t="s">
        <v>40</v>
      </c>
      <c r="G21" s="4">
        <v>-237</v>
      </c>
    </row>
    <row r="22" spans="1:7" x14ac:dyDescent="0.2">
      <c r="A22" s="8"/>
      <c r="B22" s="8"/>
      <c r="C22" s="8"/>
      <c r="D22" s="4">
        <f>AVERAGE(D2:D21)</f>
        <v>788.7</v>
      </c>
      <c r="E22" s="8"/>
      <c r="F22" s="8"/>
      <c r="G22" s="8"/>
    </row>
    <row r="23" spans="1:7" x14ac:dyDescent="0.2">
      <c r="A23" s="8"/>
      <c r="B23" s="8"/>
      <c r="C23" s="8"/>
      <c r="D23" s="4">
        <f>91*(1023-D22)/D22</f>
        <v>27.033472803347273</v>
      </c>
      <c r="E23" s="8"/>
      <c r="F23" s="8"/>
      <c r="G23" s="8"/>
    </row>
    <row r="24" spans="1:7" x14ac:dyDescent="0.2">
      <c r="A24" s="8"/>
      <c r="B24" s="8"/>
      <c r="C24" s="8"/>
      <c r="D24" s="8"/>
      <c r="E24" s="8"/>
      <c r="F24" s="8"/>
      <c r="G24" s="8"/>
    </row>
    <row r="25" spans="1:7" x14ac:dyDescent="0.2">
      <c r="A25" s="8"/>
      <c r="B25" s="8"/>
      <c r="C25" s="8"/>
      <c r="D25" s="8"/>
      <c r="E25" s="8"/>
      <c r="F25" s="8"/>
      <c r="G25" s="8"/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61415-D337-49E3-A45F-3EC7DE9A7C60}">
  <sheetPr codeName="工作表18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0.59400462962962963</v>
      </c>
      <c r="C2" s="6">
        <v>1.8125</v>
      </c>
      <c r="D2" s="4">
        <v>767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0.59400462962962963</v>
      </c>
      <c r="C3" s="6">
        <v>2.28125</v>
      </c>
      <c r="D3" s="4">
        <v>771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0.59401620370370367</v>
      </c>
      <c r="C4" s="6">
        <v>2.78125</v>
      </c>
      <c r="D4" s="4">
        <v>769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0.59401620370370367</v>
      </c>
      <c r="C5" s="6">
        <v>3.296875</v>
      </c>
      <c r="D5" s="4">
        <v>769</v>
      </c>
      <c r="E5" s="4" t="s">
        <v>37</v>
      </c>
      <c r="F5" s="10">
        <v>0.53</v>
      </c>
      <c r="G5" s="4" t="s">
        <v>28</v>
      </c>
    </row>
    <row r="6" spans="1:7" x14ac:dyDescent="0.2">
      <c r="A6" s="8">
        <v>46303</v>
      </c>
      <c r="B6" s="9">
        <v>0.59402777777777782</v>
      </c>
      <c r="C6" s="6">
        <v>3.828125</v>
      </c>
      <c r="D6" s="4">
        <v>770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0.59402777777777782</v>
      </c>
      <c r="C7" s="6">
        <v>4.328125</v>
      </c>
      <c r="D7" s="4">
        <v>768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0.59403935185185186</v>
      </c>
      <c r="C8" s="6">
        <v>4.828125</v>
      </c>
      <c r="D8" s="4">
        <v>770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0.59403935185185186</v>
      </c>
      <c r="C9" s="6">
        <v>5.328125</v>
      </c>
      <c r="D9" s="4">
        <v>768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0.5940509259259259</v>
      </c>
      <c r="C10" s="6">
        <v>5.84375</v>
      </c>
      <c r="D10" s="4">
        <v>771</v>
      </c>
      <c r="E10" s="4" t="s">
        <v>40</v>
      </c>
      <c r="F10" s="4" t="s">
        <v>40</v>
      </c>
      <c r="G10" s="4">
        <v>21</v>
      </c>
    </row>
    <row r="11" spans="1:7" x14ac:dyDescent="0.2">
      <c r="A11" s="8">
        <v>46303</v>
      </c>
      <c r="B11" s="9">
        <v>0.5940509259259259</v>
      </c>
      <c r="C11" s="6">
        <v>6.375</v>
      </c>
      <c r="D11" s="4">
        <v>772</v>
      </c>
      <c r="E11" s="4" t="s">
        <v>40</v>
      </c>
      <c r="F11" s="4" t="s">
        <v>40</v>
      </c>
      <c r="G11" s="4">
        <v>4112</v>
      </c>
    </row>
    <row r="12" spans="1:7" x14ac:dyDescent="0.2">
      <c r="A12" s="8">
        <v>46303</v>
      </c>
      <c r="B12" s="9">
        <v>0.59406250000000005</v>
      </c>
      <c r="C12" s="6">
        <v>6.8867190000000003</v>
      </c>
      <c r="D12" s="4">
        <v>771</v>
      </c>
      <c r="E12" s="4" t="s">
        <v>40</v>
      </c>
      <c r="F12" s="4" t="s">
        <v>40</v>
      </c>
      <c r="G12" s="4">
        <v>4112</v>
      </c>
    </row>
    <row r="13" spans="1:7" x14ac:dyDescent="0.2">
      <c r="A13" s="8">
        <v>46303</v>
      </c>
      <c r="B13" s="9">
        <v>0.59406250000000005</v>
      </c>
      <c r="C13" s="6">
        <v>7.4179690000000003</v>
      </c>
      <c r="D13" s="4">
        <v>772</v>
      </c>
      <c r="E13" s="4" t="s">
        <v>37</v>
      </c>
      <c r="F13" s="10">
        <v>0.53</v>
      </c>
      <c r="G13" s="4" t="s">
        <v>28</v>
      </c>
    </row>
    <row r="14" spans="1:7" x14ac:dyDescent="0.2">
      <c r="A14" s="8">
        <v>46303</v>
      </c>
      <c r="B14" s="9">
        <v>0.59407407407407409</v>
      </c>
      <c r="C14" s="6">
        <v>7.953125</v>
      </c>
      <c r="D14" s="4">
        <v>771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0.59407407407407409</v>
      </c>
      <c r="C15" s="6">
        <v>8.4492189999999994</v>
      </c>
      <c r="D15" s="4">
        <v>773</v>
      </c>
      <c r="E15" s="4" t="s">
        <v>17</v>
      </c>
      <c r="F15" s="4" t="s">
        <v>17</v>
      </c>
      <c r="G15" s="4" t="s">
        <v>17</v>
      </c>
    </row>
    <row r="16" spans="1:7" x14ac:dyDescent="0.2">
      <c r="A16" s="8">
        <v>46303</v>
      </c>
      <c r="B16" s="9">
        <v>0.59408564814814813</v>
      </c>
      <c r="C16" s="6">
        <v>8.9570310000000006</v>
      </c>
      <c r="D16" s="4">
        <v>771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0.59408564814814813</v>
      </c>
      <c r="C17" s="6">
        <v>9.4570310000000006</v>
      </c>
      <c r="D17" s="4">
        <v>770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0.59409722222222228</v>
      </c>
      <c r="C18" s="6">
        <v>10.46875</v>
      </c>
      <c r="D18" s="4">
        <v>770</v>
      </c>
      <c r="E18" s="4" t="s">
        <v>40</v>
      </c>
      <c r="F18" s="4" t="s">
        <v>40</v>
      </c>
      <c r="G18" s="4">
        <v>-237</v>
      </c>
    </row>
    <row r="19" spans="1:7" x14ac:dyDescent="0.2">
      <c r="A19" s="8">
        <v>46303</v>
      </c>
      <c r="B19" s="9">
        <v>0.59410879629629632</v>
      </c>
      <c r="C19" s="6">
        <v>11</v>
      </c>
      <c r="D19" s="4">
        <v>768</v>
      </c>
      <c r="E19" s="4" t="s">
        <v>40</v>
      </c>
      <c r="F19" s="4" t="s">
        <v>40</v>
      </c>
      <c r="G19" s="4">
        <v>3088</v>
      </c>
    </row>
    <row r="20" spans="1:7" x14ac:dyDescent="0.2">
      <c r="A20" s="8">
        <v>46303</v>
      </c>
      <c r="B20" s="9">
        <v>0.59412037037037035</v>
      </c>
      <c r="C20" s="6">
        <v>12.03125</v>
      </c>
      <c r="D20" s="4">
        <v>771</v>
      </c>
      <c r="E20" s="4" t="s">
        <v>40</v>
      </c>
      <c r="F20" s="4" t="s">
        <v>40</v>
      </c>
      <c r="G20" s="4">
        <v>-237</v>
      </c>
    </row>
    <row r="21" spans="1:7" x14ac:dyDescent="0.2">
      <c r="A21" s="8">
        <v>46303</v>
      </c>
      <c r="B21" s="9">
        <v>0.59412037037037035</v>
      </c>
      <c r="C21" s="6">
        <v>12.54688</v>
      </c>
      <c r="D21" s="4">
        <v>771</v>
      </c>
      <c r="E21" s="4" t="s">
        <v>40</v>
      </c>
      <c r="F21" s="4" t="s">
        <v>40</v>
      </c>
      <c r="G21" s="4">
        <v>3088</v>
      </c>
    </row>
    <row r="22" spans="1:7" x14ac:dyDescent="0.2">
      <c r="D22" s="4">
        <f>AVERAGE(D2:D21)</f>
        <v>770.15</v>
      </c>
    </row>
    <row r="23" spans="1:7" x14ac:dyDescent="0.2">
      <c r="D23" s="4">
        <f>91*(1023-D22)/D22</f>
        <v>29.876452639096282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3A07-4759-4CE9-9CF8-DD070E6857FD}">
  <sheetPr codeName="工作表19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0.59493055555555552</v>
      </c>
      <c r="C2" s="6">
        <v>1.816406</v>
      </c>
      <c r="D2" s="4">
        <v>744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0.59494212962962967</v>
      </c>
      <c r="C3" s="6">
        <v>2.2890630000000001</v>
      </c>
      <c r="D3" s="4">
        <v>744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0.59494212962962967</v>
      </c>
      <c r="C4" s="6">
        <v>2.7890630000000001</v>
      </c>
      <c r="D4" s="4">
        <v>747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0.59495370370370371</v>
      </c>
      <c r="C5" s="6">
        <v>3.3046880000000001</v>
      </c>
      <c r="D5" s="4">
        <v>746</v>
      </c>
      <c r="E5" s="4" t="s">
        <v>37</v>
      </c>
      <c r="F5" s="10">
        <v>0.52</v>
      </c>
      <c r="G5" s="4" t="s">
        <v>28</v>
      </c>
    </row>
    <row r="6" spans="1:7" x14ac:dyDescent="0.2">
      <c r="A6" s="8">
        <v>46303</v>
      </c>
      <c r="B6" s="9">
        <v>0.59495370370370371</v>
      </c>
      <c r="C6" s="6">
        <v>3.8203130000000001</v>
      </c>
      <c r="D6" s="4">
        <v>744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0.59496527777777775</v>
      </c>
      <c r="C7" s="6">
        <v>4.3203129999999996</v>
      </c>
      <c r="D7" s="4">
        <v>746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0.59496527777777775</v>
      </c>
      <c r="C8" s="6">
        <v>4.8203129999999996</v>
      </c>
      <c r="D8" s="4">
        <v>746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0.5949768518518519</v>
      </c>
      <c r="C9" s="6">
        <v>5.3203129999999996</v>
      </c>
      <c r="D9" s="4">
        <v>745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0.5949768518518519</v>
      </c>
      <c r="C10" s="6">
        <v>5.8515629999999996</v>
      </c>
      <c r="D10" s="4">
        <v>746</v>
      </c>
      <c r="E10" s="4" t="s">
        <v>37</v>
      </c>
      <c r="F10" s="10">
        <v>0.52</v>
      </c>
      <c r="G10" s="4" t="s">
        <v>28</v>
      </c>
    </row>
    <row r="11" spans="1:7" x14ac:dyDescent="0.2">
      <c r="A11" s="8">
        <v>46303</v>
      </c>
      <c r="B11" s="9">
        <v>0.59498842592592593</v>
      </c>
      <c r="C11" s="6">
        <v>6.3671879999999996</v>
      </c>
      <c r="D11" s="4">
        <v>747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0.59498842592592593</v>
      </c>
      <c r="C12" s="6">
        <v>6.8671879999999996</v>
      </c>
      <c r="D12" s="4">
        <v>745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0.59499999999999997</v>
      </c>
      <c r="C13" s="6">
        <v>7.3671879999999996</v>
      </c>
      <c r="D13" s="4">
        <v>745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0.59499999999999997</v>
      </c>
      <c r="C14" s="6">
        <v>7.8671879999999996</v>
      </c>
      <c r="D14" s="4">
        <v>747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0.59501157407407412</v>
      </c>
      <c r="C15" s="6">
        <v>8.3828130000000005</v>
      </c>
      <c r="D15" s="4">
        <v>749</v>
      </c>
      <c r="E15" s="4" t="s">
        <v>37</v>
      </c>
      <c r="F15" s="10">
        <v>0.52</v>
      </c>
      <c r="G15" s="4" t="s">
        <v>28</v>
      </c>
    </row>
    <row r="16" spans="1:7" x14ac:dyDescent="0.2">
      <c r="A16" s="8">
        <v>46303</v>
      </c>
      <c r="B16" s="9">
        <v>0.59501157407407412</v>
      </c>
      <c r="C16" s="6">
        <v>8.9179689999999994</v>
      </c>
      <c r="D16" s="4">
        <v>744</v>
      </c>
      <c r="E16" s="4" t="s">
        <v>17</v>
      </c>
      <c r="F16" s="4" t="s">
        <v>17</v>
      </c>
      <c r="G16" s="4" t="s">
        <v>17</v>
      </c>
    </row>
    <row r="17" spans="1:7" x14ac:dyDescent="0.2">
      <c r="A17" s="8">
        <v>46303</v>
      </c>
      <c r="B17" s="9">
        <v>0.59502314814814816</v>
      </c>
      <c r="C17" s="6">
        <v>9.4179689999999994</v>
      </c>
      <c r="D17" s="4">
        <v>746</v>
      </c>
      <c r="E17" s="4" t="s">
        <v>17</v>
      </c>
      <c r="F17" s="4" t="s">
        <v>17</v>
      </c>
      <c r="G17" s="4" t="s">
        <v>17</v>
      </c>
    </row>
    <row r="18" spans="1:7" x14ac:dyDescent="0.2">
      <c r="A18" s="8">
        <v>46303</v>
      </c>
      <c r="B18" s="9">
        <v>0.59502314814814816</v>
      </c>
      <c r="C18" s="6">
        <v>9.9179689999999994</v>
      </c>
      <c r="D18" s="4">
        <v>746</v>
      </c>
      <c r="E18" s="4" t="s">
        <v>17</v>
      </c>
      <c r="F18" s="4" t="s">
        <v>17</v>
      </c>
      <c r="G18" s="4" t="s">
        <v>17</v>
      </c>
    </row>
    <row r="19" spans="1:7" x14ac:dyDescent="0.2">
      <c r="A19" s="8">
        <v>46303</v>
      </c>
      <c r="B19" s="9">
        <v>0.5950347222222222</v>
      </c>
      <c r="C19" s="6">
        <v>10.41797</v>
      </c>
      <c r="D19" s="4">
        <v>746</v>
      </c>
      <c r="E19" s="4" t="s">
        <v>17</v>
      </c>
      <c r="F19" s="4" t="s">
        <v>17</v>
      </c>
      <c r="G19" s="4" t="s">
        <v>17</v>
      </c>
    </row>
    <row r="20" spans="1:7" x14ac:dyDescent="0.2">
      <c r="A20" s="8">
        <v>46303</v>
      </c>
      <c r="B20" s="9">
        <v>0.5950347222222222</v>
      </c>
      <c r="C20" s="6">
        <v>10.933590000000001</v>
      </c>
      <c r="D20" s="4">
        <v>747</v>
      </c>
      <c r="E20" s="4" t="s">
        <v>37</v>
      </c>
      <c r="F20" s="10">
        <v>0.52</v>
      </c>
      <c r="G20" s="4" t="s">
        <v>28</v>
      </c>
    </row>
    <row r="21" spans="1:7" x14ac:dyDescent="0.2">
      <c r="A21" s="8">
        <v>46303</v>
      </c>
      <c r="B21" s="9">
        <v>0.59504629629629635</v>
      </c>
      <c r="C21" s="6">
        <v>11.45703</v>
      </c>
      <c r="D21" s="4">
        <v>748</v>
      </c>
      <c r="E21" s="4" t="s">
        <v>17</v>
      </c>
      <c r="F21" s="4" t="s">
        <v>17</v>
      </c>
      <c r="G21" s="4" t="s">
        <v>17</v>
      </c>
    </row>
    <row r="22" spans="1:7" x14ac:dyDescent="0.2">
      <c r="D22" s="4">
        <f>AVERAGE(D2:D21)</f>
        <v>745.9</v>
      </c>
    </row>
    <row r="23" spans="1:7" x14ac:dyDescent="0.2">
      <c r="D23" s="4">
        <f>91*(1023-D22)/D22</f>
        <v>33.806274299503961</v>
      </c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D292D-B51A-4321-8F4C-C6C921406A3C}">
  <sheetPr codeName="工作表20"/>
  <dimension ref="A1:G23"/>
  <sheetViews>
    <sheetView workbookViewId="0">
      <selection activeCell="D22" sqref="D2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29</v>
      </c>
      <c r="B1" s="5" t="s">
        <v>30</v>
      </c>
      <c r="C1" s="7" t="s">
        <v>31</v>
      </c>
      <c r="D1" s="5" t="s">
        <v>32</v>
      </c>
      <c r="E1" s="5" t="s">
        <v>33</v>
      </c>
      <c r="F1" s="5" t="s">
        <v>34</v>
      </c>
      <c r="G1" s="5" t="s">
        <v>35</v>
      </c>
    </row>
    <row r="2" spans="1:7" x14ac:dyDescent="0.2">
      <c r="A2" s="8">
        <v>46303</v>
      </c>
      <c r="B2" s="9">
        <v>0.59585648148148151</v>
      </c>
      <c r="C2" s="6">
        <v>1.796875</v>
      </c>
      <c r="D2" s="4">
        <v>757</v>
      </c>
      <c r="E2" s="4" t="s">
        <v>17</v>
      </c>
      <c r="F2" s="4" t="s">
        <v>17</v>
      </c>
      <c r="G2" s="4" t="s">
        <v>17</v>
      </c>
    </row>
    <row r="3" spans="1:7" x14ac:dyDescent="0.2">
      <c r="A3" s="8">
        <v>46303</v>
      </c>
      <c r="B3" s="9">
        <v>0.59585648148148151</v>
      </c>
      <c r="C3" s="6">
        <v>2.28125</v>
      </c>
      <c r="D3" s="4">
        <v>758</v>
      </c>
      <c r="E3" s="4" t="s">
        <v>17</v>
      </c>
      <c r="F3" s="4" t="s">
        <v>17</v>
      </c>
      <c r="G3" s="4" t="s">
        <v>17</v>
      </c>
    </row>
    <row r="4" spans="1:7" x14ac:dyDescent="0.2">
      <c r="A4" s="8">
        <v>46303</v>
      </c>
      <c r="B4" s="9">
        <v>0.59586805555555555</v>
      </c>
      <c r="C4" s="6">
        <v>2.78125</v>
      </c>
      <c r="D4" s="4">
        <v>756</v>
      </c>
      <c r="E4" s="4" t="s">
        <v>17</v>
      </c>
      <c r="F4" s="4" t="s">
        <v>17</v>
      </c>
      <c r="G4" s="4" t="s">
        <v>17</v>
      </c>
    </row>
    <row r="5" spans="1:7" x14ac:dyDescent="0.2">
      <c r="A5" s="8">
        <v>46303</v>
      </c>
      <c r="B5" s="9">
        <v>0.59586805555555555</v>
      </c>
      <c r="C5" s="6">
        <v>3.296875</v>
      </c>
      <c r="D5" s="4">
        <v>758</v>
      </c>
      <c r="E5" s="4" t="s">
        <v>37</v>
      </c>
      <c r="F5" s="10">
        <v>0.52</v>
      </c>
      <c r="G5" s="4" t="s">
        <v>28</v>
      </c>
    </row>
    <row r="6" spans="1:7" x14ac:dyDescent="0.2">
      <c r="A6" s="8">
        <v>46303</v>
      </c>
      <c r="B6" s="9">
        <v>0.59587962962962959</v>
      </c>
      <c r="C6" s="6">
        <v>3.8125</v>
      </c>
      <c r="D6" s="4">
        <v>758</v>
      </c>
      <c r="E6" s="4" t="s">
        <v>17</v>
      </c>
      <c r="F6" s="4" t="s">
        <v>17</v>
      </c>
      <c r="G6" s="4" t="s">
        <v>17</v>
      </c>
    </row>
    <row r="7" spans="1:7" x14ac:dyDescent="0.2">
      <c r="A7" s="8">
        <v>46303</v>
      </c>
      <c r="B7" s="9">
        <v>0.59587962962962959</v>
      </c>
      <c r="C7" s="6">
        <v>4.3125</v>
      </c>
      <c r="D7" s="4">
        <v>756</v>
      </c>
      <c r="E7" s="4" t="s">
        <v>17</v>
      </c>
      <c r="F7" s="4" t="s">
        <v>17</v>
      </c>
      <c r="G7" s="4" t="s">
        <v>17</v>
      </c>
    </row>
    <row r="8" spans="1:7" x14ac:dyDescent="0.2">
      <c r="A8" s="8">
        <v>46303</v>
      </c>
      <c r="B8" s="9">
        <v>0.59589120370370374</v>
      </c>
      <c r="C8" s="6">
        <v>4.828125</v>
      </c>
      <c r="D8" s="4">
        <v>756</v>
      </c>
      <c r="E8" s="4" t="s">
        <v>17</v>
      </c>
      <c r="F8" s="4" t="s">
        <v>17</v>
      </c>
      <c r="G8" s="4" t="s">
        <v>17</v>
      </c>
    </row>
    <row r="9" spans="1:7" x14ac:dyDescent="0.2">
      <c r="A9" s="8">
        <v>46303</v>
      </c>
      <c r="B9" s="9">
        <v>0.59589120370370374</v>
      </c>
      <c r="C9" s="6">
        <v>5.328125</v>
      </c>
      <c r="D9" s="4">
        <v>756</v>
      </c>
      <c r="E9" s="4" t="s">
        <v>17</v>
      </c>
      <c r="F9" s="4" t="s">
        <v>17</v>
      </c>
      <c r="G9" s="4" t="s">
        <v>17</v>
      </c>
    </row>
    <row r="10" spans="1:7" x14ac:dyDescent="0.2">
      <c r="A10" s="8">
        <v>46303</v>
      </c>
      <c r="B10" s="9">
        <v>0.59590277777777778</v>
      </c>
      <c r="C10" s="6">
        <v>5.84375</v>
      </c>
      <c r="D10" s="4">
        <v>758</v>
      </c>
      <c r="E10" s="4" t="s">
        <v>37</v>
      </c>
      <c r="F10" s="10">
        <v>0.53</v>
      </c>
      <c r="G10" s="4" t="s">
        <v>28</v>
      </c>
    </row>
    <row r="11" spans="1:7" x14ac:dyDescent="0.2">
      <c r="A11" s="8">
        <v>46303</v>
      </c>
      <c r="B11" s="9">
        <v>0.59590277777777778</v>
      </c>
      <c r="C11" s="6">
        <v>6.359375</v>
      </c>
      <c r="D11" s="4">
        <v>756</v>
      </c>
      <c r="E11" s="4" t="s">
        <v>17</v>
      </c>
      <c r="F11" s="4" t="s">
        <v>17</v>
      </c>
      <c r="G11" s="4" t="s">
        <v>17</v>
      </c>
    </row>
    <row r="12" spans="1:7" x14ac:dyDescent="0.2">
      <c r="A12" s="8">
        <v>46303</v>
      </c>
      <c r="B12" s="9">
        <v>0.59591435185185182</v>
      </c>
      <c r="C12" s="6">
        <v>6.8554690000000003</v>
      </c>
      <c r="D12" s="4">
        <v>757</v>
      </c>
      <c r="E12" s="4" t="s">
        <v>17</v>
      </c>
      <c r="F12" s="4" t="s">
        <v>17</v>
      </c>
      <c r="G12" s="4" t="s">
        <v>17</v>
      </c>
    </row>
    <row r="13" spans="1:7" x14ac:dyDescent="0.2">
      <c r="A13" s="8">
        <v>46303</v>
      </c>
      <c r="B13" s="9">
        <v>0.59591435185185182</v>
      </c>
      <c r="C13" s="6">
        <v>7.3554690000000003</v>
      </c>
      <c r="D13" s="4">
        <v>758</v>
      </c>
      <c r="E13" s="4" t="s">
        <v>17</v>
      </c>
      <c r="F13" s="4" t="s">
        <v>17</v>
      </c>
      <c r="G13" s="4" t="s">
        <v>17</v>
      </c>
    </row>
    <row r="14" spans="1:7" x14ac:dyDescent="0.2">
      <c r="A14" s="8">
        <v>46303</v>
      </c>
      <c r="B14" s="9">
        <v>0.59592592592592597</v>
      </c>
      <c r="C14" s="6">
        <v>7.875</v>
      </c>
      <c r="D14" s="4">
        <v>759</v>
      </c>
      <c r="E14" s="4" t="s">
        <v>17</v>
      </c>
      <c r="F14" s="4" t="s">
        <v>17</v>
      </c>
      <c r="G14" s="4" t="s">
        <v>17</v>
      </c>
    </row>
    <row r="15" spans="1:7" x14ac:dyDescent="0.2">
      <c r="A15" s="8">
        <v>46303</v>
      </c>
      <c r="B15" s="9">
        <v>0.59593750000000001</v>
      </c>
      <c r="C15" s="6">
        <v>8.8867189999999994</v>
      </c>
      <c r="D15" s="4">
        <v>759</v>
      </c>
      <c r="E15" s="4" t="s">
        <v>40</v>
      </c>
      <c r="F15" s="4" t="s">
        <v>40</v>
      </c>
      <c r="G15" s="4">
        <v>-237</v>
      </c>
    </row>
    <row r="16" spans="1:7" x14ac:dyDescent="0.2">
      <c r="A16" s="8">
        <v>46303</v>
      </c>
      <c r="B16" s="9">
        <v>0.59593750000000001</v>
      </c>
      <c r="C16" s="6">
        <v>9.40625</v>
      </c>
      <c r="D16" s="4">
        <v>757</v>
      </c>
      <c r="E16" s="4" t="s">
        <v>40</v>
      </c>
      <c r="F16" s="4" t="s">
        <v>40</v>
      </c>
      <c r="G16" s="4">
        <v>4112</v>
      </c>
    </row>
    <row r="17" spans="1:7" x14ac:dyDescent="0.2">
      <c r="A17" s="8">
        <v>46303</v>
      </c>
      <c r="B17" s="9">
        <v>0.59594907407407405</v>
      </c>
      <c r="C17" s="6">
        <v>10.4375</v>
      </c>
      <c r="D17" s="4">
        <v>756</v>
      </c>
      <c r="E17" s="4" t="s">
        <v>40</v>
      </c>
      <c r="F17" s="4" t="s">
        <v>40</v>
      </c>
      <c r="G17" s="4">
        <v>-237</v>
      </c>
    </row>
    <row r="18" spans="1:7" x14ac:dyDescent="0.2">
      <c r="A18" s="8">
        <v>46303</v>
      </c>
      <c r="B18" s="9">
        <v>0.5959606481481482</v>
      </c>
      <c r="C18" s="6">
        <v>10.964840000000001</v>
      </c>
      <c r="D18" s="4">
        <v>758</v>
      </c>
      <c r="E18" s="4" t="s">
        <v>40</v>
      </c>
      <c r="F18" s="4" t="s">
        <v>40</v>
      </c>
      <c r="G18" s="4">
        <v>4112</v>
      </c>
    </row>
    <row r="19" spans="1:7" x14ac:dyDescent="0.2">
      <c r="A19" s="8">
        <v>46303</v>
      </c>
      <c r="B19" s="9">
        <v>0.59597222222222224</v>
      </c>
      <c r="C19" s="6">
        <v>11.996090000000001</v>
      </c>
      <c r="D19" s="4">
        <v>759</v>
      </c>
      <c r="E19" s="4" t="s">
        <v>40</v>
      </c>
      <c r="F19" s="4" t="s">
        <v>40</v>
      </c>
      <c r="G19" s="4">
        <v>-237</v>
      </c>
    </row>
    <row r="20" spans="1:7" x14ac:dyDescent="0.2">
      <c r="A20" s="8">
        <v>46303</v>
      </c>
      <c r="B20" s="9">
        <v>0.59597222222222224</v>
      </c>
      <c r="C20" s="6">
        <v>12.527340000000001</v>
      </c>
      <c r="D20" s="4">
        <v>758</v>
      </c>
      <c r="E20" s="4" t="s">
        <v>40</v>
      </c>
      <c r="F20" s="4" t="s">
        <v>40</v>
      </c>
      <c r="G20" s="4">
        <v>4112</v>
      </c>
    </row>
    <row r="21" spans="1:7" x14ac:dyDescent="0.2">
      <c r="A21" s="8">
        <v>46303</v>
      </c>
      <c r="B21" s="9">
        <v>0.59598379629629628</v>
      </c>
      <c r="C21" s="6">
        <v>13.558590000000001</v>
      </c>
      <c r="D21" s="4">
        <v>758</v>
      </c>
      <c r="E21" s="4" t="s">
        <v>40</v>
      </c>
      <c r="F21" s="4" t="s">
        <v>40</v>
      </c>
      <c r="G21" s="4">
        <v>-237</v>
      </c>
    </row>
    <row r="22" spans="1:7" x14ac:dyDescent="0.2">
      <c r="D22" s="4">
        <f>AVERAGE(D2:D21)</f>
        <v>757.4</v>
      </c>
    </row>
    <row r="23" spans="1:7" x14ac:dyDescent="0.2">
      <c r="D23" s="4">
        <f>91*(1023-D22)/D22</f>
        <v>31.91127541589649</v>
      </c>
    </row>
  </sheetData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41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溫度</vt:lpstr>
      <vt:lpstr>空白</vt:lpstr>
      <vt:lpstr>降溫30</vt:lpstr>
      <vt:lpstr>降溫40</vt:lpstr>
      <vt:lpstr>降溫50</vt:lpstr>
      <vt:lpstr>降溫60</vt:lpstr>
      <vt:lpstr>降溫70</vt:lpstr>
      <vt:lpstr>降溫80</vt:lpstr>
      <vt:lpstr>升溫30</vt:lpstr>
      <vt:lpstr>升溫40</vt:lpstr>
      <vt:lpstr>升溫50</vt:lpstr>
      <vt:lpstr>升溫60</vt:lpstr>
      <vt:lpstr>升溫70</vt:lpstr>
      <vt:lpstr>升溫80</vt:lpstr>
      <vt:lpstr>A2</vt:lpstr>
      <vt:lpstr>A3</vt:lpstr>
      <vt:lpstr>A4</vt:lpstr>
      <vt:lpstr>B2</vt:lpstr>
      <vt:lpstr>B3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2026-10-12T06:52:25Z</dcterms:modified>
</cp:coreProperties>
</file>