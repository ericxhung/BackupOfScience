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029682EC-E060-4B9A-9FEB-4712D2DAE1B5}" xr6:coauthVersionLast="47" xr6:coauthVersionMax="47" xr10:uidLastSave="{00000000-0000-0000-0000-000000000000}"/>
  <bookViews>
    <workbookView xWindow="-120" yWindow="-120" windowWidth="20730" windowHeight="11160" tabRatio="795" firstSheet="3" activeTab="10" xr2:uid="{00000000-000D-0000-FFFF-FFFF00000000}"/>
  </bookViews>
  <sheets>
    <sheet name="溫度" sheetId="36" r:id="rId1"/>
    <sheet name="標準" sheetId="50" r:id="rId2"/>
    <sheet name="紙杯 80度" sheetId="37" r:id="rId3"/>
    <sheet name="紙杯60度" sheetId="39" r:id="rId4"/>
    <sheet name="紙杯40度" sheetId="41" r:id="rId5"/>
    <sheet name="保麗龍球(大)80" sheetId="57" r:id="rId6"/>
    <sheet name="保麗龍球(大)60 " sheetId="60" r:id="rId7"/>
    <sheet name="保麗龍球(大)40" sheetId="58" r:id="rId8"/>
    <sheet name="保麗龍球(小)80" sheetId="38" r:id="rId9"/>
    <sheet name="保麗龍球(小)60" sheetId="40" r:id="rId10"/>
    <sheet name="保麗龍球(小)40" sheetId="42" r:id="rId11"/>
    <sheet name="PLXDAQ_new_Settings" sheetId="6" state="hidden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42" l="1"/>
  <c r="G2" i="50"/>
  <c r="G3" i="50"/>
  <c r="G2" i="40"/>
  <c r="G2" i="38"/>
  <c r="G2" i="58"/>
  <c r="G2" i="60"/>
  <c r="G2" i="57"/>
  <c r="G2" i="41"/>
  <c r="G2" i="39"/>
  <c r="G2" i="37"/>
  <c r="G3" i="42"/>
  <c r="G3" i="40"/>
  <c r="G3" i="38"/>
  <c r="G3" i="58"/>
  <c r="G3" i="60"/>
  <c r="G3" i="57"/>
  <c r="G3" i="41"/>
  <c r="G3" i="39"/>
</calcChain>
</file>

<file path=xl/sharedStrings.xml><?xml version="1.0" encoding="utf-8"?>
<sst xmlns="http://schemas.openxmlformats.org/spreadsheetml/2006/main" count="721" uniqueCount="29">
  <si>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</si>
  <si>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</si>
  <si>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</si>
  <si>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</si>
  <si>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</si>
  <si>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</si>
  <si>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</si>
  <si>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</si>
  <si>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</si>
  <si>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</si>
  <si>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</si>
  <si>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</si>
  <si>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</si>
  <si>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</si>
  <si>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</si>
  <si>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</si>
  <si>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</si>
  <si>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27.00 C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</si>
  <si>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</si>
  <si>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</si>
  <si>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</si>
  <si>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</si>
  <si>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</si>
  <si>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</si>
  <si>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</si>
  <si>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</si>
  <si>
    <t>A0</t>
    <phoneticPr fontId="4" type="noConversion"/>
  </si>
  <si>
    <t>28.00 C</t>
  </si>
  <si>
    <t>保麗龍球(小)40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</si>
</sst>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6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21"/>
  <sheetViews>
    <sheetView workbookViewId="0">
      <selection activeCell="E15" sqref="E15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6" x14ac:dyDescent="0.2">
      <c r="A2" s="8">
        <v>0.6959143518518518</v>
      </c>
      <c r="B2" s="6">
        <v>1.8125</v>
      </c>
      <c r="C2" s="11">
        <v>0</v>
      </c>
      <c r="D2" s="11" t="s">
        <v>25</v>
      </c>
      <c r="E2" s="11" t="s">
        <v>25</v>
      </c>
      <c r="F2" s="11" t="s">
        <v>25</v>
      </c>
    </row>
    <row r="3" spans="1:6" x14ac:dyDescent="0.2">
      <c r="A3" s="8">
        <v>0.69592592592592595</v>
      </c>
      <c r="B3" s="6">
        <v>2.25</v>
      </c>
      <c r="C3" s="11">
        <v>0</v>
      </c>
      <c r="D3" s="11" t="s">
        <v>25</v>
      </c>
      <c r="E3" s="11" t="s">
        <v>25</v>
      </c>
      <c r="F3" s="11" t="s">
        <v>25</v>
      </c>
    </row>
    <row r="4" spans="1:6" x14ac:dyDescent="0.2">
      <c r="A4" s="8">
        <v>0.69592592592592595</v>
      </c>
      <c r="B4" s="6">
        <v>2.75</v>
      </c>
      <c r="C4" s="11">
        <v>2</v>
      </c>
      <c r="D4" s="11" t="s">
        <v>25</v>
      </c>
      <c r="E4" s="11" t="s">
        <v>25</v>
      </c>
      <c r="F4" s="11" t="s">
        <v>25</v>
      </c>
    </row>
    <row r="5" spans="1:6" x14ac:dyDescent="0.2">
      <c r="A5" s="8">
        <v>0.69593749999999999</v>
      </c>
      <c r="B5" s="6">
        <v>3.7773439999999998</v>
      </c>
      <c r="C5" s="11">
        <v>0</v>
      </c>
      <c r="D5" s="11" t="s">
        <v>19</v>
      </c>
      <c r="E5" s="11" t="s">
        <v>19</v>
      </c>
      <c r="F5" s="11">
        <v>-237</v>
      </c>
    </row>
    <row r="6" spans="1:6" x14ac:dyDescent="0.2">
      <c r="A6" s="8">
        <v>0.69594907407407403</v>
      </c>
      <c r="B6" s="6">
        <v>4.2929690000000003</v>
      </c>
      <c r="C6" s="11">
        <v>2</v>
      </c>
      <c r="D6" s="11" t="s">
        <v>19</v>
      </c>
      <c r="E6" s="11" t="s">
        <v>19</v>
      </c>
      <c r="F6" s="11">
        <v>3088</v>
      </c>
    </row>
    <row r="7" spans="1:6" x14ac:dyDescent="0.2">
      <c r="A7" s="8">
        <v>0.69594907407407403</v>
      </c>
      <c r="B7" s="6">
        <v>4.8398440000000003</v>
      </c>
      <c r="C7" s="11">
        <v>2</v>
      </c>
      <c r="D7" s="11" t="s">
        <v>27</v>
      </c>
      <c r="E7" s="9">
        <v>0.63</v>
      </c>
      <c r="F7" s="11" t="s">
        <v>18</v>
      </c>
    </row>
    <row r="8" spans="1:6" x14ac:dyDescent="0.2">
      <c r="A8" s="8">
        <v>0.69596064814814818</v>
      </c>
      <c r="B8" s="6">
        <v>5.3554690000000003</v>
      </c>
      <c r="C8" s="11">
        <v>0</v>
      </c>
      <c r="D8" s="11" t="s">
        <v>25</v>
      </c>
      <c r="E8" s="11" t="s">
        <v>25</v>
      </c>
      <c r="F8" s="11" t="s">
        <v>25</v>
      </c>
    </row>
    <row r="9" spans="1:6" x14ac:dyDescent="0.2">
      <c r="A9" s="8">
        <v>0.69596064814814818</v>
      </c>
      <c r="B9" s="6">
        <v>5.8554690000000003</v>
      </c>
      <c r="C9" s="11">
        <v>0</v>
      </c>
      <c r="D9" s="11" t="s">
        <v>25</v>
      </c>
      <c r="E9" s="11" t="s">
        <v>25</v>
      </c>
      <c r="F9" s="11" t="s">
        <v>25</v>
      </c>
    </row>
    <row r="10" spans="1:6" x14ac:dyDescent="0.2">
      <c r="A10" s="8">
        <v>0.69597222222222221</v>
      </c>
      <c r="B10" s="6">
        <v>6.3554690000000003</v>
      </c>
      <c r="C10" s="11">
        <v>0</v>
      </c>
      <c r="D10" s="11" t="s">
        <v>25</v>
      </c>
      <c r="E10" s="11" t="s">
        <v>25</v>
      </c>
      <c r="F10" s="11" t="s">
        <v>25</v>
      </c>
    </row>
    <row r="11" spans="1:6" x14ac:dyDescent="0.2">
      <c r="A11" s="8">
        <v>0.69597222222222221</v>
      </c>
      <c r="B11" s="6">
        <v>6.8554690000000003</v>
      </c>
      <c r="C11" s="11">
        <v>0</v>
      </c>
      <c r="D11" s="11" t="s">
        <v>25</v>
      </c>
      <c r="E11" s="11" t="s">
        <v>25</v>
      </c>
      <c r="F11" s="11" t="s">
        <v>25</v>
      </c>
    </row>
    <row r="12" spans="1:6" x14ac:dyDescent="0.2">
      <c r="A12" s="8">
        <v>0.69598379629629625</v>
      </c>
      <c r="B12" s="6">
        <v>7.3867190000000003</v>
      </c>
      <c r="C12" s="11">
        <v>0</v>
      </c>
      <c r="D12" s="11" t="s">
        <v>27</v>
      </c>
      <c r="E12" s="9">
        <v>0.63</v>
      </c>
      <c r="F12" s="11" t="s">
        <v>18</v>
      </c>
    </row>
    <row r="13" spans="1:6" x14ac:dyDescent="0.2">
      <c r="A13" s="8">
        <v>0.69598379629629625</v>
      </c>
      <c r="B13" s="6">
        <v>7.9023440000000003</v>
      </c>
      <c r="C13" s="11">
        <v>0</v>
      </c>
      <c r="D13" s="11" t="s">
        <v>25</v>
      </c>
      <c r="E13" s="11" t="s">
        <v>25</v>
      </c>
      <c r="F13" s="11" t="s">
        <v>25</v>
      </c>
    </row>
    <row r="14" spans="1:6" x14ac:dyDescent="0.2">
      <c r="A14" s="8">
        <v>0.6959953703703704</v>
      </c>
      <c r="B14" s="6">
        <v>8.4023439999999994</v>
      </c>
      <c r="C14" s="11">
        <v>0</v>
      </c>
      <c r="D14" s="11" t="s">
        <v>25</v>
      </c>
      <c r="E14" s="11" t="s">
        <v>25</v>
      </c>
      <c r="F14" s="11" t="s">
        <v>25</v>
      </c>
    </row>
    <row r="15" spans="1:6" x14ac:dyDescent="0.2">
      <c r="A15" s="8">
        <v>0.6959953703703704</v>
      </c>
      <c r="B15" s="6">
        <v>8.9023439999999994</v>
      </c>
      <c r="C15" s="11">
        <v>0</v>
      </c>
      <c r="D15" s="11" t="s">
        <v>25</v>
      </c>
      <c r="E15" s="11" t="s">
        <v>25</v>
      </c>
      <c r="F15" s="11" t="s">
        <v>25</v>
      </c>
    </row>
    <row r="16" spans="1:6" x14ac:dyDescent="0.2">
      <c r="A16" s="8">
        <v>0.69600694444444444</v>
      </c>
      <c r="B16" s="6">
        <v>9.4023439999999994</v>
      </c>
      <c r="C16" s="11">
        <v>0</v>
      </c>
      <c r="D16" s="11" t="s">
        <v>25</v>
      </c>
      <c r="E16" s="11" t="s">
        <v>25</v>
      </c>
      <c r="F16" s="11" t="s">
        <v>25</v>
      </c>
    </row>
    <row r="17" spans="1:6" x14ac:dyDescent="0.2">
      <c r="A17" s="8">
        <v>0.69600694444444444</v>
      </c>
      <c r="B17" s="6">
        <v>9.9335939999999994</v>
      </c>
      <c r="C17" s="11">
        <v>1</v>
      </c>
      <c r="D17" s="11" t="s">
        <v>27</v>
      </c>
      <c r="E17" s="9">
        <v>0.63</v>
      </c>
      <c r="F17" s="11" t="s">
        <v>18</v>
      </c>
    </row>
    <row r="18" spans="1:6" x14ac:dyDescent="0.2">
      <c r="A18" s="8">
        <v>0.69601851851851848</v>
      </c>
      <c r="B18" s="6">
        <v>10.44922</v>
      </c>
      <c r="C18" s="11">
        <v>0</v>
      </c>
      <c r="D18" s="11" t="s">
        <v>25</v>
      </c>
      <c r="E18" s="11" t="s">
        <v>25</v>
      </c>
      <c r="F18" s="11" t="s">
        <v>25</v>
      </c>
    </row>
    <row r="19" spans="1:6" x14ac:dyDescent="0.2">
      <c r="A19" s="8">
        <v>0.69601851851851848</v>
      </c>
      <c r="B19" s="6">
        <v>10.94922</v>
      </c>
      <c r="C19" s="11">
        <v>0</v>
      </c>
      <c r="D19" s="11" t="s">
        <v>25</v>
      </c>
      <c r="E19" s="11" t="s">
        <v>25</v>
      </c>
      <c r="F19" s="11" t="s">
        <v>25</v>
      </c>
    </row>
    <row r="20" spans="1:6" x14ac:dyDescent="0.2">
      <c r="A20" s="8">
        <v>0.69603009259259263</v>
      </c>
      <c r="B20" s="6">
        <v>11.44922</v>
      </c>
      <c r="C20" s="11">
        <v>0</v>
      </c>
      <c r="D20" s="11" t="s">
        <v>25</v>
      </c>
      <c r="E20" s="11" t="s">
        <v>25</v>
      </c>
      <c r="F20" s="11" t="s">
        <v>25</v>
      </c>
    </row>
    <row r="21" spans="1:6" x14ac:dyDescent="0.2">
      <c r="A21" s="11"/>
      <c r="C21" s="11"/>
      <c r="D21" s="11"/>
      <c r="E21" s="11"/>
      <c r="F21" s="1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352D-C6A6-4D7C-B68E-A72CFD7B802E}">
  <dimension ref="A1:P47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27.85546875" customWidth="1"/>
  </cols>
  <sheetData>
    <row r="1" spans="1:16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16" x14ac:dyDescent="0.2">
      <c r="A2" s="8">
        <v>0.6988078703703704</v>
      </c>
      <c r="B2" s="6">
        <v>1.796875</v>
      </c>
      <c r="C2" s="11">
        <v>788</v>
      </c>
      <c r="D2" s="11" t="s">
        <v>25</v>
      </c>
      <c r="E2" s="11" t="s">
        <v>25</v>
      </c>
      <c r="F2" s="11" t="s">
        <v>25</v>
      </c>
      <c r="G2" s="12">
        <f>91*(1023-G3)/G3</f>
        <v>27.205828201384048</v>
      </c>
      <c r="H2" s="12"/>
      <c r="I2" s="12"/>
    </row>
    <row r="3" spans="1:16" x14ac:dyDescent="0.2">
      <c r="A3" s="8">
        <v>0.69881944444444444</v>
      </c>
      <c r="B3" s="6">
        <v>2.265625</v>
      </c>
      <c r="C3" s="11">
        <v>786</v>
      </c>
      <c r="D3" s="11" t="s">
        <v>25</v>
      </c>
      <c r="E3" s="11" t="s">
        <v>25</v>
      </c>
      <c r="F3" s="11" t="s">
        <v>25</v>
      </c>
      <c r="G3">
        <f>AVERAGE(C2:C21)</f>
        <v>787.55</v>
      </c>
      <c r="H3" s="12"/>
      <c r="I3" s="12"/>
    </row>
    <row r="4" spans="1:16" x14ac:dyDescent="0.2">
      <c r="A4" s="8">
        <v>0.69881944444444444</v>
      </c>
      <c r="B4" s="6">
        <v>2.765625</v>
      </c>
      <c r="C4" s="11">
        <v>788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16" x14ac:dyDescent="0.2">
      <c r="A5" s="8">
        <v>0.69883101851851848</v>
      </c>
      <c r="B5" s="6">
        <v>3.28125</v>
      </c>
      <c r="C5" s="11">
        <v>788</v>
      </c>
      <c r="D5" s="11" t="s">
        <v>27</v>
      </c>
      <c r="E5" s="9">
        <v>0.65</v>
      </c>
      <c r="F5" s="11" t="s">
        <v>18</v>
      </c>
      <c r="G5" s="12"/>
      <c r="H5" s="12"/>
      <c r="I5" s="12"/>
    </row>
    <row r="6" spans="1:16" x14ac:dyDescent="0.2">
      <c r="A6" s="8">
        <v>0.69883101851851848</v>
      </c>
      <c r="B6" s="6">
        <v>3.8125</v>
      </c>
      <c r="C6" s="11">
        <v>787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16" x14ac:dyDescent="0.2">
      <c r="A7" s="8">
        <v>0.69884259259259263</v>
      </c>
      <c r="B7" s="6">
        <v>4.3085940000000003</v>
      </c>
      <c r="C7" s="11">
        <v>786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16" x14ac:dyDescent="0.2">
      <c r="A8" s="8">
        <v>0.69884259259259263</v>
      </c>
      <c r="B8" s="6">
        <v>4.8085940000000003</v>
      </c>
      <c r="C8" s="11">
        <v>789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16" x14ac:dyDescent="0.2">
      <c r="A9" s="8">
        <v>0.69885416666666667</v>
      </c>
      <c r="B9" s="6">
        <v>5.3085940000000003</v>
      </c>
      <c r="C9" s="11">
        <v>788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16" x14ac:dyDescent="0.2">
      <c r="A10" s="8">
        <v>0.69885416666666667</v>
      </c>
      <c r="B10" s="6">
        <v>5.828125</v>
      </c>
      <c r="C10" s="11">
        <v>786</v>
      </c>
      <c r="D10" s="11" t="s">
        <v>27</v>
      </c>
      <c r="E10" s="9">
        <v>0.65</v>
      </c>
      <c r="F10" s="11" t="s">
        <v>18</v>
      </c>
      <c r="G10" s="12"/>
      <c r="H10" s="12"/>
      <c r="I10" s="12"/>
    </row>
    <row r="11" spans="1:16" x14ac:dyDescent="0.2">
      <c r="A11" s="8">
        <v>0.6988657407407407</v>
      </c>
      <c r="B11" s="6">
        <v>6.3398440000000003</v>
      </c>
      <c r="C11" s="11">
        <v>787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16" x14ac:dyDescent="0.2">
      <c r="A12" s="8">
        <v>0.6988657407407407</v>
      </c>
      <c r="B12" s="6">
        <v>6.8398440000000003</v>
      </c>
      <c r="C12" s="11">
        <v>788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16" x14ac:dyDescent="0.2">
      <c r="A13" s="8">
        <v>0.69887731481481485</v>
      </c>
      <c r="B13" s="6">
        <v>7.3398440000000003</v>
      </c>
      <c r="C13" s="11">
        <v>787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16" x14ac:dyDescent="0.2">
      <c r="A14" s="8">
        <v>0.69887731481481485</v>
      </c>
      <c r="B14" s="6">
        <v>7.8398440000000003</v>
      </c>
      <c r="C14" s="11">
        <v>786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16" x14ac:dyDescent="0.2">
      <c r="A15" s="8">
        <v>0.69888888888888889</v>
      </c>
      <c r="B15" s="6">
        <v>8.3710939999999994</v>
      </c>
      <c r="C15" s="11">
        <v>790</v>
      </c>
      <c r="D15" s="11" t="s">
        <v>27</v>
      </c>
      <c r="E15" s="9">
        <v>0.64</v>
      </c>
      <c r="F15" s="11" t="s">
        <v>18</v>
      </c>
      <c r="G15" s="12"/>
      <c r="H15" s="12"/>
      <c r="I15" s="12"/>
    </row>
    <row r="16" spans="1:16" x14ac:dyDescent="0.2">
      <c r="A16" s="8">
        <v>0.69888888888888889</v>
      </c>
      <c r="B16" s="6">
        <v>8.8867189999999994</v>
      </c>
      <c r="C16" s="11">
        <v>789</v>
      </c>
      <c r="D16" s="11" t="s">
        <v>25</v>
      </c>
      <c r="E16" s="11" t="s">
        <v>25</v>
      </c>
      <c r="F16" s="11" t="s">
        <v>25</v>
      </c>
      <c r="G16" s="12"/>
      <c r="H16" s="12"/>
      <c r="I16" s="12"/>
      <c r="P16" s="1"/>
    </row>
    <row r="17" spans="1:9" x14ac:dyDescent="0.2">
      <c r="A17" s="8">
        <v>0.69890046296296293</v>
      </c>
      <c r="B17" s="6">
        <v>9.3867189999999994</v>
      </c>
      <c r="C17" s="11">
        <v>789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0.69890046296296293</v>
      </c>
      <c r="B18" s="6">
        <v>9.8867189999999994</v>
      </c>
      <c r="C18" s="11">
        <v>787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0.69891203703703708</v>
      </c>
      <c r="B19" s="6">
        <v>10.38672</v>
      </c>
      <c r="C19" s="11">
        <v>788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0.69891203703703708</v>
      </c>
      <c r="B20" s="6">
        <v>10.91797</v>
      </c>
      <c r="C20" s="11">
        <v>787</v>
      </c>
      <c r="D20" s="11" t="s">
        <v>27</v>
      </c>
      <c r="E20" s="9">
        <v>0.65</v>
      </c>
      <c r="F20" s="11" t="s">
        <v>18</v>
      </c>
      <c r="G20" s="12"/>
      <c r="H20" s="12"/>
      <c r="I20" s="12"/>
    </row>
    <row r="21" spans="1:9" x14ac:dyDescent="0.2">
      <c r="A21" s="8">
        <v>0.69892361111111112</v>
      </c>
      <c r="B21" s="6">
        <v>11.433590000000001</v>
      </c>
      <c r="C21" s="11">
        <v>787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  <row r="22" spans="1:9" x14ac:dyDescent="0.2">
      <c r="A22" s="11"/>
      <c r="C22" s="11"/>
      <c r="D22" s="11"/>
      <c r="E22" s="11"/>
      <c r="F22" s="11"/>
      <c r="G22" s="12"/>
      <c r="H22" s="12"/>
      <c r="I22" s="12"/>
    </row>
    <row r="23" spans="1:9" x14ac:dyDescent="0.2">
      <c r="A23" s="11"/>
      <c r="C23" s="11"/>
      <c r="D23" s="11"/>
      <c r="E23" s="11"/>
      <c r="F23" s="11"/>
      <c r="G23" s="12"/>
      <c r="H23" s="12"/>
      <c r="I23" s="12"/>
    </row>
    <row r="24" spans="1:9" x14ac:dyDescent="0.2">
      <c r="A24" s="11"/>
      <c r="C24" s="11"/>
      <c r="D24" s="11"/>
      <c r="E24" s="11"/>
      <c r="F24" s="11"/>
      <c r="G24" s="12"/>
      <c r="H24" s="12"/>
      <c r="I24" s="12"/>
    </row>
    <row r="25" spans="1:9" x14ac:dyDescent="0.2">
      <c r="A25" s="11"/>
      <c r="C25" s="11"/>
      <c r="D25" s="11"/>
      <c r="E25" s="11"/>
      <c r="F25" s="11"/>
      <c r="G25" s="12"/>
      <c r="H25" s="12"/>
      <c r="I25" s="12"/>
    </row>
    <row r="26" spans="1:9" x14ac:dyDescent="0.2">
      <c r="A26" s="11"/>
      <c r="C26" s="11"/>
      <c r="D26" s="11"/>
      <c r="E26" s="11"/>
      <c r="F26" s="11"/>
      <c r="G26" s="12"/>
      <c r="H26" s="12"/>
      <c r="I26" s="12"/>
    </row>
    <row r="27" spans="1:9" x14ac:dyDescent="0.2">
      <c r="A27" s="11"/>
      <c r="C27" s="11"/>
      <c r="D27" s="11"/>
      <c r="E27" s="11"/>
      <c r="F27" s="11"/>
      <c r="G27" s="12"/>
      <c r="H27" s="12"/>
      <c r="I27" s="12"/>
    </row>
    <row r="28" spans="1:9" x14ac:dyDescent="0.2">
      <c r="A28" s="11"/>
      <c r="C28" s="11"/>
      <c r="D28" s="11"/>
      <c r="E28" s="11"/>
      <c r="F28" s="11"/>
      <c r="G28" s="12"/>
      <c r="H28" s="12"/>
      <c r="I28" s="12"/>
    </row>
    <row r="29" spans="1:9" x14ac:dyDescent="0.2">
      <c r="A29" s="11"/>
      <c r="C29" s="11"/>
      <c r="D29" s="11"/>
      <c r="E29" s="11"/>
      <c r="F29" s="11"/>
      <c r="G29" s="12"/>
      <c r="H29" s="12"/>
      <c r="I29" s="12"/>
    </row>
    <row r="30" spans="1:9" x14ac:dyDescent="0.2">
      <c r="A30" s="11"/>
      <c r="C30" s="11"/>
      <c r="D30" s="11"/>
      <c r="E30" s="11"/>
      <c r="F30" s="11"/>
      <c r="G30" s="12"/>
      <c r="H30" s="12"/>
      <c r="I30" s="12"/>
    </row>
    <row r="31" spans="1:9" x14ac:dyDescent="0.2">
      <c r="A31" s="11"/>
      <c r="C31" s="11"/>
      <c r="D31" s="11"/>
      <c r="E31" s="11"/>
      <c r="F31" s="11"/>
      <c r="G31" s="12"/>
      <c r="H31" s="12"/>
      <c r="I31" s="12"/>
    </row>
    <row r="32" spans="1:9" x14ac:dyDescent="0.2">
      <c r="A32" s="11"/>
      <c r="C32" s="11"/>
      <c r="D32" s="11"/>
      <c r="E32" s="11"/>
      <c r="F32" s="11"/>
      <c r="G32" s="12"/>
      <c r="H32" s="12"/>
      <c r="I32" s="12"/>
    </row>
    <row r="33" spans="1:9" x14ac:dyDescent="0.2">
      <c r="A33" s="11"/>
      <c r="C33" s="11"/>
      <c r="D33" s="11"/>
      <c r="E33" s="11"/>
      <c r="F33" s="11"/>
      <c r="G33" s="12"/>
      <c r="H33" s="12"/>
      <c r="I33" s="12"/>
    </row>
    <row r="34" spans="1:9" x14ac:dyDescent="0.2">
      <c r="A34" s="11"/>
      <c r="C34" s="11"/>
      <c r="D34" s="11"/>
      <c r="E34" s="11"/>
      <c r="F34" s="11"/>
      <c r="G34" s="12"/>
      <c r="H34" s="12"/>
      <c r="I34" s="12"/>
    </row>
    <row r="35" spans="1:9" x14ac:dyDescent="0.2">
      <c r="A35" s="11"/>
      <c r="C35" s="11"/>
      <c r="D35" s="11"/>
      <c r="E35" s="11"/>
      <c r="F35" s="11"/>
      <c r="G35" s="12"/>
      <c r="H35" s="12"/>
      <c r="I35" s="12"/>
    </row>
    <row r="36" spans="1:9" x14ac:dyDescent="0.2">
      <c r="A36" s="11"/>
      <c r="C36" s="11"/>
      <c r="D36" s="11"/>
      <c r="E36" s="11"/>
      <c r="F36" s="11"/>
      <c r="G36" s="12"/>
      <c r="H36" s="12"/>
      <c r="I36" s="12"/>
    </row>
    <row r="37" spans="1:9" x14ac:dyDescent="0.2">
      <c r="A37" s="11"/>
      <c r="C37" s="11"/>
      <c r="D37" s="11"/>
      <c r="E37" s="11"/>
      <c r="F37" s="11"/>
      <c r="G37" s="12"/>
      <c r="H37" s="12"/>
      <c r="I37" s="12"/>
    </row>
    <row r="38" spans="1:9" x14ac:dyDescent="0.2">
      <c r="A38" s="11"/>
      <c r="C38" s="11"/>
      <c r="D38" s="11"/>
      <c r="E38" s="11"/>
      <c r="F38" s="11"/>
      <c r="G38" s="12"/>
      <c r="H38" s="12"/>
      <c r="I38" s="12"/>
    </row>
    <row r="39" spans="1:9" x14ac:dyDescent="0.2">
      <c r="A39" s="11"/>
      <c r="C39" s="11"/>
      <c r="D39" s="11"/>
      <c r="E39" s="11"/>
      <c r="F39" s="11"/>
      <c r="G39" s="12"/>
      <c r="H39" s="12"/>
      <c r="I39" s="12"/>
    </row>
    <row r="40" spans="1:9" x14ac:dyDescent="0.2">
      <c r="A40" s="11"/>
      <c r="C40" s="11"/>
      <c r="D40" s="11"/>
      <c r="E40" s="11"/>
      <c r="F40" s="11"/>
      <c r="G40" s="12"/>
      <c r="H40" s="12"/>
      <c r="I40" s="12"/>
    </row>
    <row r="41" spans="1:9" x14ac:dyDescent="0.2">
      <c r="A41" s="11"/>
      <c r="C41" s="11"/>
      <c r="D41" s="11"/>
      <c r="E41" s="11"/>
      <c r="F41" s="11"/>
      <c r="G41" s="12"/>
      <c r="H41" s="12"/>
      <c r="I41" s="12"/>
    </row>
    <row r="42" spans="1:9" x14ac:dyDescent="0.2">
      <c r="A42" s="11"/>
      <c r="C42" s="11"/>
      <c r="D42" s="11"/>
      <c r="E42" s="11"/>
      <c r="F42" s="11"/>
      <c r="G42" s="12"/>
      <c r="H42" s="12"/>
      <c r="I42" s="12"/>
    </row>
    <row r="43" spans="1:9" x14ac:dyDescent="0.2">
      <c r="A43" s="11"/>
      <c r="C43" s="11"/>
      <c r="D43" s="11"/>
      <c r="E43" s="11"/>
      <c r="F43" s="11"/>
      <c r="G43" s="12"/>
      <c r="H43" s="12"/>
      <c r="I43" s="12"/>
    </row>
    <row r="44" spans="1:9" x14ac:dyDescent="0.2">
      <c r="A44" s="11"/>
      <c r="C44" s="11"/>
      <c r="D44" s="11"/>
      <c r="E44" s="11"/>
      <c r="F44" s="11"/>
      <c r="G44" s="12"/>
      <c r="H44" s="12"/>
      <c r="I44" s="12"/>
    </row>
    <row r="45" spans="1:9" x14ac:dyDescent="0.2">
      <c r="A45" s="11"/>
      <c r="C45" s="11"/>
      <c r="D45" s="11"/>
      <c r="E45" s="11"/>
      <c r="F45" s="11"/>
      <c r="G45" s="12"/>
      <c r="H45" s="12"/>
      <c r="I45" s="12"/>
    </row>
    <row r="46" spans="1:9" x14ac:dyDescent="0.2">
      <c r="A46" s="11"/>
      <c r="C46" s="11"/>
      <c r="D46" s="11"/>
      <c r="E46" s="11"/>
      <c r="F46" s="11"/>
      <c r="G46" s="12"/>
      <c r="H46" s="12"/>
      <c r="I46" s="12"/>
    </row>
    <row r="47" spans="1:9" x14ac:dyDescent="0.2">
      <c r="A47" s="11"/>
      <c r="C47" s="11"/>
      <c r="D47" s="11"/>
      <c r="E47" s="11"/>
      <c r="F47" s="11"/>
      <c r="G47" s="12"/>
      <c r="H47" s="12"/>
      <c r="I47" s="12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1A98-4A7E-4ECE-BBB3-539C19F99775}">
  <dimension ref="A1:Q21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0.7109375" customWidth="1"/>
    <col min="15" max="15" width="11.42578125" bestFit="1" customWidth="1"/>
    <col min="17" max="17" width="11.42578125" bestFit="1" customWidth="1"/>
  </cols>
  <sheetData>
    <row r="1" spans="1:17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17" x14ac:dyDescent="0.2">
      <c r="A2" s="8">
        <v>0.70200231481481479</v>
      </c>
      <c r="B2" s="6">
        <v>1.796875</v>
      </c>
      <c r="C2" s="11">
        <v>783</v>
      </c>
      <c r="D2" s="11" t="s">
        <v>25</v>
      </c>
      <c r="E2" s="11" t="s">
        <v>25</v>
      </c>
      <c r="F2" s="11" t="s">
        <v>25</v>
      </c>
      <c r="G2" s="12">
        <f>91*(1023-G3)/G3</f>
        <v>27.885128663559168</v>
      </c>
      <c r="H2" s="12"/>
      <c r="I2" s="12"/>
    </row>
    <row r="3" spans="1:17" x14ac:dyDescent="0.2">
      <c r="A3" s="8">
        <v>0.70201388888888894</v>
      </c>
      <c r="B3" s="6">
        <v>2.265625</v>
      </c>
      <c r="C3" s="11">
        <v>783</v>
      </c>
      <c r="D3" s="11" t="s">
        <v>25</v>
      </c>
      <c r="E3" s="11" t="s">
        <v>25</v>
      </c>
      <c r="F3" s="11" t="s">
        <v>25</v>
      </c>
      <c r="G3" s="12">
        <v>783.05</v>
      </c>
      <c r="H3" s="12"/>
      <c r="I3" s="12"/>
    </row>
    <row r="4" spans="1:17" x14ac:dyDescent="0.2">
      <c r="A4" s="8">
        <v>0.70201388888888894</v>
      </c>
      <c r="B4" s="6">
        <v>2.765625</v>
      </c>
      <c r="C4" s="11">
        <v>785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17" x14ac:dyDescent="0.2">
      <c r="A5" s="8">
        <v>0.70202546296296298</v>
      </c>
      <c r="B5" s="6">
        <v>3.28125</v>
      </c>
      <c r="C5" s="11">
        <v>784</v>
      </c>
      <c r="D5" s="11" t="s">
        <v>19</v>
      </c>
      <c r="E5" s="11" t="s">
        <v>19</v>
      </c>
      <c r="F5" s="11">
        <v>21</v>
      </c>
      <c r="G5" s="12"/>
      <c r="H5" s="12"/>
      <c r="I5" s="12"/>
    </row>
    <row r="6" spans="1:17" x14ac:dyDescent="0.2">
      <c r="A6" s="8">
        <v>0.70202546296296298</v>
      </c>
      <c r="B6" s="6">
        <v>3.8125</v>
      </c>
      <c r="C6" s="11">
        <v>783</v>
      </c>
      <c r="D6" s="11" t="s">
        <v>19</v>
      </c>
      <c r="E6" s="11" t="s">
        <v>19</v>
      </c>
      <c r="F6" s="11">
        <v>3088</v>
      </c>
      <c r="G6" s="12"/>
      <c r="H6" s="12"/>
      <c r="I6" s="12"/>
    </row>
    <row r="7" spans="1:17" x14ac:dyDescent="0.2">
      <c r="A7" s="8">
        <v>0.70203703703703701</v>
      </c>
      <c r="B7" s="6">
        <v>4.328125</v>
      </c>
      <c r="C7" s="11">
        <v>783</v>
      </c>
      <c r="D7" s="11" t="s">
        <v>19</v>
      </c>
      <c r="E7" s="11" t="s">
        <v>19</v>
      </c>
      <c r="F7" s="11">
        <v>3088</v>
      </c>
      <c r="G7" s="12"/>
      <c r="H7" s="12"/>
      <c r="I7" s="12"/>
    </row>
    <row r="8" spans="1:17" x14ac:dyDescent="0.2">
      <c r="A8" s="8">
        <v>0.70203703703703701</v>
      </c>
      <c r="B8" s="6">
        <v>4.875</v>
      </c>
      <c r="C8" s="11">
        <v>782</v>
      </c>
      <c r="D8" s="11" t="s">
        <v>27</v>
      </c>
      <c r="E8" s="9">
        <v>0.64</v>
      </c>
      <c r="F8" s="11" t="s">
        <v>18</v>
      </c>
      <c r="G8" s="12"/>
      <c r="H8" s="12"/>
      <c r="I8" s="12"/>
    </row>
    <row r="9" spans="1:17" x14ac:dyDescent="0.2">
      <c r="A9" s="8">
        <v>0.70204861111111116</v>
      </c>
      <c r="B9" s="6">
        <v>5.390625</v>
      </c>
      <c r="C9" s="11">
        <v>781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17" x14ac:dyDescent="0.2">
      <c r="A10" s="8">
        <v>0.7020601851851852</v>
      </c>
      <c r="B10" s="6">
        <v>5.890625</v>
      </c>
      <c r="C10" s="11">
        <v>783</v>
      </c>
      <c r="D10" s="11" t="s">
        <v>25</v>
      </c>
      <c r="E10" s="11" t="s">
        <v>25</v>
      </c>
      <c r="F10" s="11" t="s">
        <v>25</v>
      </c>
      <c r="G10" s="12"/>
      <c r="H10" s="12"/>
      <c r="I10" s="12"/>
    </row>
    <row r="11" spans="1:17" x14ac:dyDescent="0.2">
      <c r="A11" s="8">
        <v>0.7020601851851852</v>
      </c>
      <c r="B11" s="6">
        <v>6.390625</v>
      </c>
      <c r="C11" s="11">
        <v>782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17" x14ac:dyDescent="0.2">
      <c r="A12" s="8">
        <v>0.70207175925925924</v>
      </c>
      <c r="B12" s="6">
        <v>6.890625</v>
      </c>
      <c r="C12" s="11">
        <v>784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17" x14ac:dyDescent="0.2">
      <c r="A13" s="8">
        <v>0.70207175925925924</v>
      </c>
      <c r="B13" s="6">
        <v>7.421875</v>
      </c>
      <c r="C13" s="11">
        <v>782</v>
      </c>
      <c r="D13" s="11" t="s">
        <v>27</v>
      </c>
      <c r="E13" s="9">
        <v>0.64</v>
      </c>
      <c r="F13" s="11" t="s">
        <v>18</v>
      </c>
      <c r="G13" s="12"/>
      <c r="H13" s="12"/>
      <c r="I13" s="12"/>
    </row>
    <row r="14" spans="1:17" x14ac:dyDescent="0.2">
      <c r="A14" s="8">
        <v>0.70208333333333328</v>
      </c>
      <c r="B14" s="6">
        <v>7.9375</v>
      </c>
      <c r="C14" s="11">
        <v>782</v>
      </c>
      <c r="D14" s="11" t="s">
        <v>25</v>
      </c>
      <c r="E14" s="11" t="s">
        <v>25</v>
      </c>
      <c r="F14" s="11" t="s">
        <v>25</v>
      </c>
      <c r="G14" s="12"/>
      <c r="H14" s="12"/>
      <c r="I14" s="12"/>
      <c r="O14" s="10"/>
      <c r="Q14" s="10"/>
    </row>
    <row r="15" spans="1:17" x14ac:dyDescent="0.2">
      <c r="A15" s="8">
        <v>0.70208333333333328</v>
      </c>
      <c r="B15" s="6">
        <v>8.4375</v>
      </c>
      <c r="C15" s="11">
        <v>782</v>
      </c>
      <c r="D15" s="11" t="s">
        <v>25</v>
      </c>
      <c r="E15" s="11" t="s">
        <v>25</v>
      </c>
      <c r="F15" s="11" t="s">
        <v>25</v>
      </c>
      <c r="G15" s="12"/>
      <c r="H15" s="12"/>
      <c r="I15" s="12"/>
    </row>
    <row r="16" spans="1:17" x14ac:dyDescent="0.2">
      <c r="A16" s="8">
        <v>0.70209490740740743</v>
      </c>
      <c r="B16" s="6">
        <v>8.9375</v>
      </c>
      <c r="C16" s="11">
        <v>784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0.70209490740740743</v>
      </c>
      <c r="B17" s="6">
        <v>9.4375</v>
      </c>
      <c r="C17" s="11">
        <v>784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0.70210648148148147</v>
      </c>
      <c r="B18" s="6">
        <v>9.96875</v>
      </c>
      <c r="C18" s="11">
        <v>784</v>
      </c>
      <c r="D18" s="11" t="s">
        <v>27</v>
      </c>
      <c r="E18" s="9">
        <v>0.64</v>
      </c>
      <c r="F18" s="11" t="s">
        <v>18</v>
      </c>
      <c r="G18" s="12"/>
      <c r="H18" s="12"/>
      <c r="I18" s="12"/>
    </row>
    <row r="19" spans="1:9" x14ac:dyDescent="0.2">
      <c r="A19" s="8">
        <v>0.70210648148148147</v>
      </c>
      <c r="B19" s="6">
        <v>10.48047</v>
      </c>
      <c r="C19" s="11">
        <v>782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0.70211805555555551</v>
      </c>
      <c r="B20" s="6">
        <v>10.98047</v>
      </c>
      <c r="C20" s="11">
        <v>783</v>
      </c>
      <c r="D20" s="11" t="s">
        <v>25</v>
      </c>
      <c r="E20" s="11" t="s">
        <v>25</v>
      </c>
      <c r="F20" s="11" t="s">
        <v>25</v>
      </c>
      <c r="G20" s="12"/>
      <c r="H20" s="12"/>
      <c r="I20" s="12"/>
    </row>
    <row r="21" spans="1:9" x14ac:dyDescent="0.2">
      <c r="A21" s="8">
        <v>0.70211805555555551</v>
      </c>
      <c r="B21" s="6">
        <v>11.48047</v>
      </c>
      <c r="C21" s="11">
        <v>785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dimension ref="A1:I22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1.42578125" bestFit="1" customWidth="1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0.70321759259259264</v>
      </c>
      <c r="B2" s="6">
        <v>1.792969</v>
      </c>
      <c r="C2" s="11">
        <v>776</v>
      </c>
      <c r="D2" s="11" t="s">
        <v>25</v>
      </c>
      <c r="E2" s="11" t="s">
        <v>25</v>
      </c>
      <c r="F2" s="11" t="s">
        <v>25</v>
      </c>
      <c r="G2" s="12">
        <f>91*(1023-G3)/G3</f>
        <v>28.818521140356516</v>
      </c>
      <c r="H2" s="10"/>
    </row>
    <row r="3" spans="1:9" x14ac:dyDescent="0.2">
      <c r="A3" s="8">
        <v>0.70322916666666668</v>
      </c>
      <c r="B3" s="6">
        <v>2.2617189999999998</v>
      </c>
      <c r="C3" s="11">
        <v>776</v>
      </c>
      <c r="D3" s="11" t="s">
        <v>25</v>
      </c>
      <c r="E3" s="11" t="s">
        <v>25</v>
      </c>
      <c r="F3" s="11" t="s">
        <v>25</v>
      </c>
      <c r="G3">
        <f>AVERAGE(C2:C21)</f>
        <v>776.95</v>
      </c>
      <c r="H3" s="12"/>
      <c r="I3" s="12"/>
    </row>
    <row r="4" spans="1:9" x14ac:dyDescent="0.2">
      <c r="A4" s="8">
        <v>0.70322916666666668</v>
      </c>
      <c r="B4" s="6">
        <v>2.7617189999999998</v>
      </c>
      <c r="C4" s="11">
        <v>777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0.70324074074074072</v>
      </c>
      <c r="B5" s="6">
        <v>3.2773439999999998</v>
      </c>
      <c r="C5" s="11">
        <v>779</v>
      </c>
      <c r="D5" s="11" t="s">
        <v>27</v>
      </c>
      <c r="E5" s="9">
        <v>0.64</v>
      </c>
      <c r="F5" s="11" t="s">
        <v>18</v>
      </c>
      <c r="G5" s="12"/>
      <c r="H5" s="12"/>
      <c r="I5" s="12"/>
    </row>
    <row r="6" spans="1:9" x14ac:dyDescent="0.2">
      <c r="A6" s="8">
        <v>0.70324074074074072</v>
      </c>
      <c r="B6" s="6">
        <v>3.8085939999999998</v>
      </c>
      <c r="C6" s="11">
        <v>778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0.70325231481481476</v>
      </c>
      <c r="B7" s="6">
        <v>4.3085940000000003</v>
      </c>
      <c r="C7" s="11">
        <v>776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0.70325231481481476</v>
      </c>
      <c r="B8" s="6">
        <v>4.8085940000000003</v>
      </c>
      <c r="C8" s="11">
        <v>778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0.70326388888888891</v>
      </c>
      <c r="B9" s="6">
        <v>5.3085940000000003</v>
      </c>
      <c r="C9" s="11">
        <v>776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0.70327546296296295</v>
      </c>
      <c r="B10" s="6">
        <v>5.8242190000000003</v>
      </c>
      <c r="C10" s="11">
        <v>776</v>
      </c>
      <c r="D10" s="11" t="s">
        <v>27</v>
      </c>
      <c r="E10" s="9">
        <v>0.64</v>
      </c>
      <c r="F10" s="11" t="s">
        <v>18</v>
      </c>
      <c r="G10" s="12"/>
      <c r="H10" s="12"/>
      <c r="I10" s="12"/>
    </row>
    <row r="11" spans="1:9" x14ac:dyDescent="0.2">
      <c r="A11" s="8">
        <v>0.70327546296296295</v>
      </c>
      <c r="B11" s="6">
        <v>6.3398440000000003</v>
      </c>
      <c r="C11" s="11">
        <v>775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0.70328703703703699</v>
      </c>
      <c r="B12" s="6">
        <v>6.8398440000000003</v>
      </c>
      <c r="C12" s="11">
        <v>776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0.70328703703703699</v>
      </c>
      <c r="B13" s="6">
        <v>7.3398440000000003</v>
      </c>
      <c r="C13" s="11">
        <v>776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0.70329861111111114</v>
      </c>
      <c r="B14" s="6">
        <v>7.8398440000000003</v>
      </c>
      <c r="C14" s="11">
        <v>777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0.70329861111111114</v>
      </c>
      <c r="B15" s="6">
        <v>8.3710939999999994</v>
      </c>
      <c r="C15" s="11">
        <v>777</v>
      </c>
      <c r="D15" s="11" t="s">
        <v>27</v>
      </c>
      <c r="E15" s="9">
        <v>0.64</v>
      </c>
      <c r="F15" s="11" t="s">
        <v>18</v>
      </c>
      <c r="G15" s="12"/>
      <c r="H15" s="12"/>
      <c r="I15" s="12"/>
    </row>
    <row r="16" spans="1:9" x14ac:dyDescent="0.2">
      <c r="A16" s="8">
        <v>0.70331018518518518</v>
      </c>
      <c r="B16" s="6">
        <v>8.8867189999999994</v>
      </c>
      <c r="C16" s="11">
        <v>778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0.70331018518518518</v>
      </c>
      <c r="B17" s="6">
        <v>9.3867189999999994</v>
      </c>
      <c r="C17" s="11">
        <v>775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0.70332175925925922</v>
      </c>
      <c r="B18" s="6">
        <v>9.8867189999999994</v>
      </c>
      <c r="C18" s="11">
        <v>778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0.70332175925925922</v>
      </c>
      <c r="B19" s="6">
        <v>10.38672</v>
      </c>
      <c r="C19" s="11">
        <v>779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0.70333333333333337</v>
      </c>
      <c r="B20" s="6">
        <v>10.91797</v>
      </c>
      <c r="C20" s="11">
        <v>779</v>
      </c>
      <c r="D20" s="11" t="s">
        <v>27</v>
      </c>
      <c r="E20" s="9">
        <v>0.64</v>
      </c>
      <c r="F20" s="11" t="s">
        <v>18</v>
      </c>
      <c r="G20" s="12"/>
      <c r="H20" s="12"/>
      <c r="I20" s="12"/>
    </row>
    <row r="21" spans="1:9" x14ac:dyDescent="0.2">
      <c r="A21" s="8">
        <v>0.70333333333333337</v>
      </c>
      <c r="B21" s="6">
        <v>11.433590000000001</v>
      </c>
      <c r="C21" s="11">
        <v>777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  <row r="22" spans="1:9" x14ac:dyDescent="0.2">
      <c r="A22" s="11"/>
      <c r="C22" s="11"/>
      <c r="D22" s="11"/>
      <c r="E22" s="11"/>
      <c r="F22" s="11"/>
      <c r="G22" s="12"/>
      <c r="H22" s="12"/>
      <c r="I22" s="12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dimension ref="A1:I21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9.140625" customWidth="1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0.70451388888888888</v>
      </c>
      <c r="B2" s="6">
        <v>1.796875</v>
      </c>
      <c r="C2" s="11">
        <v>763</v>
      </c>
      <c r="D2" s="11" t="s">
        <v>25</v>
      </c>
      <c r="E2" s="11" t="s">
        <v>25</v>
      </c>
      <c r="F2" s="11" t="s">
        <v>25</v>
      </c>
      <c r="G2" s="12">
        <f>91*(1023-G3)/G3</f>
        <v>30.586886958793187</v>
      </c>
      <c r="H2" s="12"/>
      <c r="I2" s="12"/>
    </row>
    <row r="3" spans="1:9" x14ac:dyDescent="0.2">
      <c r="A3" s="8">
        <v>0.70451388888888888</v>
      </c>
      <c r="B3" s="6">
        <v>2.265625</v>
      </c>
      <c r="C3" s="11">
        <v>763</v>
      </c>
      <c r="D3" s="11" t="s">
        <v>25</v>
      </c>
      <c r="E3" s="11" t="s">
        <v>25</v>
      </c>
      <c r="F3" s="11" t="s">
        <v>25</v>
      </c>
      <c r="G3">
        <f>AVERAGE(C2:C21)</f>
        <v>765.65</v>
      </c>
      <c r="H3" s="12"/>
      <c r="I3" s="12"/>
    </row>
    <row r="4" spans="1:9" x14ac:dyDescent="0.2">
      <c r="A4" s="8">
        <v>0.70452546296296292</v>
      </c>
      <c r="B4" s="6">
        <v>2.765625</v>
      </c>
      <c r="C4" s="11">
        <v>768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0.70452546296296292</v>
      </c>
      <c r="B5" s="6">
        <v>3.28125</v>
      </c>
      <c r="C5" s="11">
        <v>764</v>
      </c>
      <c r="D5" s="11" t="s">
        <v>27</v>
      </c>
      <c r="E5" s="9">
        <v>0.63</v>
      </c>
      <c r="F5" s="11" t="s">
        <v>18</v>
      </c>
      <c r="G5" s="12"/>
      <c r="H5" s="12"/>
      <c r="I5" s="12"/>
    </row>
    <row r="6" spans="1:9" x14ac:dyDescent="0.2">
      <c r="A6" s="8">
        <v>0.70453703703703707</v>
      </c>
      <c r="B6" s="6">
        <v>3.796875</v>
      </c>
      <c r="C6" s="11">
        <v>767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0.70453703703703707</v>
      </c>
      <c r="B7" s="6">
        <v>4.296875</v>
      </c>
      <c r="C7" s="11">
        <v>766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0.70454861111111111</v>
      </c>
      <c r="B8" s="6">
        <v>4.796875</v>
      </c>
      <c r="C8" s="11">
        <v>766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0.70454861111111111</v>
      </c>
      <c r="B9" s="6">
        <v>5.296875</v>
      </c>
      <c r="C9" s="11">
        <v>766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0.70456018518518515</v>
      </c>
      <c r="B10" s="6">
        <v>5.828125</v>
      </c>
      <c r="C10" s="11">
        <v>763</v>
      </c>
      <c r="D10" s="11" t="s">
        <v>27</v>
      </c>
      <c r="E10" s="9">
        <v>0.63</v>
      </c>
      <c r="F10" s="11" t="s">
        <v>18</v>
      </c>
      <c r="G10" s="12"/>
      <c r="H10" s="12"/>
      <c r="I10" s="12"/>
    </row>
    <row r="11" spans="1:9" x14ac:dyDescent="0.2">
      <c r="A11" s="8">
        <v>0.70456018518518515</v>
      </c>
      <c r="B11" s="6">
        <v>6.34375</v>
      </c>
      <c r="C11" s="11">
        <v>766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0.7045717592592593</v>
      </c>
      <c r="B12" s="6">
        <v>6.84375</v>
      </c>
      <c r="C12" s="11">
        <v>766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0.7045717592592593</v>
      </c>
      <c r="B13" s="6">
        <v>7.34375</v>
      </c>
      <c r="C13" s="11">
        <v>767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0.70458333333333334</v>
      </c>
      <c r="B14" s="6">
        <v>7.84375</v>
      </c>
      <c r="C14" s="11">
        <v>765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0.70458333333333334</v>
      </c>
      <c r="B15" s="6">
        <v>8.375</v>
      </c>
      <c r="C15" s="11">
        <v>766</v>
      </c>
      <c r="D15" s="11" t="s">
        <v>27</v>
      </c>
      <c r="E15" s="9">
        <v>0.63</v>
      </c>
      <c r="F15" s="11" t="s">
        <v>18</v>
      </c>
      <c r="G15" s="12"/>
      <c r="H15" s="12"/>
      <c r="I15" s="12"/>
    </row>
    <row r="16" spans="1:9" x14ac:dyDescent="0.2">
      <c r="A16" s="8">
        <v>0.70459490740740738</v>
      </c>
      <c r="B16" s="6">
        <v>8.890625</v>
      </c>
      <c r="C16" s="11">
        <v>766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0.70459490740740738</v>
      </c>
      <c r="B17" s="6">
        <v>9.390625</v>
      </c>
      <c r="C17" s="11">
        <v>767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0.70460648148148153</v>
      </c>
      <c r="B18" s="6">
        <v>9.8867189999999994</v>
      </c>
      <c r="C18" s="11">
        <v>766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0.70460648148148153</v>
      </c>
      <c r="B19" s="6">
        <v>10.38672</v>
      </c>
      <c r="C19" s="11">
        <v>764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0.70461805555555557</v>
      </c>
      <c r="B20" s="6">
        <v>10.91797</v>
      </c>
      <c r="C20" s="11">
        <v>766</v>
      </c>
      <c r="D20" s="11" t="s">
        <v>27</v>
      </c>
      <c r="E20" s="9">
        <v>0.63</v>
      </c>
      <c r="F20" s="11" t="s">
        <v>18</v>
      </c>
      <c r="G20" s="12"/>
      <c r="H20" s="12"/>
      <c r="I20" s="12"/>
    </row>
    <row r="21" spans="1:9" x14ac:dyDescent="0.2">
      <c r="A21" s="8">
        <v>0.70461805555555557</v>
      </c>
      <c r="B21" s="6">
        <v>11.433590000000001</v>
      </c>
      <c r="C21" s="11">
        <v>768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C74A-1B83-4146-942E-49CD75CE23B4}">
  <dimension ref="A1:I21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0.7076041666666667</v>
      </c>
      <c r="B2" s="6">
        <v>1.796875</v>
      </c>
      <c r="C2" s="11">
        <v>739</v>
      </c>
      <c r="D2" s="11" t="s">
        <v>25</v>
      </c>
      <c r="E2" s="11" t="s">
        <v>25</v>
      </c>
      <c r="F2" s="11" t="s">
        <v>25</v>
      </c>
      <c r="G2" s="12">
        <f>91*(1023-G3)/G3</f>
        <v>35.15082322650585</v>
      </c>
      <c r="H2" s="12"/>
    </row>
    <row r="3" spans="1:9" x14ac:dyDescent="0.2">
      <c r="A3" s="8">
        <v>0.70761574074074074</v>
      </c>
      <c r="B3" s="6">
        <v>2.265625</v>
      </c>
      <c r="C3" s="11">
        <v>736</v>
      </c>
      <c r="D3" s="11" t="s">
        <v>25</v>
      </c>
      <c r="E3" s="11" t="s">
        <v>25</v>
      </c>
      <c r="F3" s="11" t="s">
        <v>25</v>
      </c>
      <c r="G3">
        <f>AVERAGE(C2:C21)</f>
        <v>737.95</v>
      </c>
      <c r="H3" s="12"/>
      <c r="I3" s="12"/>
    </row>
    <row r="4" spans="1:9" x14ac:dyDescent="0.2">
      <c r="A4" s="8">
        <v>0.70761574074074074</v>
      </c>
      <c r="B4" s="6">
        <v>2.765625</v>
      </c>
      <c r="C4" s="11">
        <v>735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0.70762731481481478</v>
      </c>
      <c r="B5" s="6">
        <v>3.296875</v>
      </c>
      <c r="C5" s="11">
        <v>737</v>
      </c>
      <c r="D5" s="11" t="s">
        <v>17</v>
      </c>
      <c r="E5" s="9">
        <v>0.62</v>
      </c>
      <c r="F5" s="11" t="s">
        <v>18</v>
      </c>
      <c r="G5" s="12"/>
      <c r="H5" s="12"/>
      <c r="I5" s="12"/>
    </row>
    <row r="6" spans="1:9" x14ac:dyDescent="0.2">
      <c r="A6" s="8">
        <v>0.70762731481481478</v>
      </c>
      <c r="B6" s="6">
        <v>3.8125</v>
      </c>
      <c r="C6" s="11">
        <v>736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0.70763888888888893</v>
      </c>
      <c r="B7" s="6">
        <v>4.3125</v>
      </c>
      <c r="C7" s="11">
        <v>739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0.70763888888888893</v>
      </c>
      <c r="B8" s="6">
        <v>4.8125</v>
      </c>
      <c r="C8" s="11">
        <v>740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0.70765046296296297</v>
      </c>
      <c r="B9" s="6">
        <v>5.3125</v>
      </c>
      <c r="C9" s="11">
        <v>737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0.70765046296296297</v>
      </c>
      <c r="B10" s="6">
        <v>5.84375</v>
      </c>
      <c r="C10" s="11">
        <v>735</v>
      </c>
      <c r="D10" s="11" t="s">
        <v>17</v>
      </c>
      <c r="E10" s="9">
        <v>0.63</v>
      </c>
      <c r="F10" s="11" t="s">
        <v>18</v>
      </c>
      <c r="G10" s="12"/>
      <c r="H10" s="12"/>
      <c r="I10" s="12"/>
    </row>
    <row r="11" spans="1:9" x14ac:dyDescent="0.2">
      <c r="A11" s="8">
        <v>0.70766203703703701</v>
      </c>
      <c r="B11" s="6">
        <v>6.359375</v>
      </c>
      <c r="C11" s="11">
        <v>738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0.70766203703703701</v>
      </c>
      <c r="B12" s="6">
        <v>6.859375</v>
      </c>
      <c r="C12" s="11">
        <v>740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0.70767361111111116</v>
      </c>
      <c r="B13" s="6">
        <v>7.359375</v>
      </c>
      <c r="C13" s="11">
        <v>738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0.70767361111111116</v>
      </c>
      <c r="B14" s="6">
        <v>7.859375</v>
      </c>
      <c r="C14" s="11">
        <v>739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0.70768518518518519</v>
      </c>
      <c r="B15" s="6">
        <v>8.390625</v>
      </c>
      <c r="C15" s="11">
        <v>733</v>
      </c>
      <c r="D15" s="11" t="s">
        <v>17</v>
      </c>
      <c r="E15" s="9">
        <v>0.62</v>
      </c>
      <c r="F15" s="11" t="s">
        <v>18</v>
      </c>
      <c r="G15" s="12"/>
      <c r="H15" s="12"/>
      <c r="I15" s="12"/>
    </row>
    <row r="16" spans="1:9" x14ac:dyDescent="0.2">
      <c r="A16" s="8">
        <v>0.70768518518518519</v>
      </c>
      <c r="B16" s="6">
        <v>8.90625</v>
      </c>
      <c r="C16" s="11">
        <v>738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0.70769675925925923</v>
      </c>
      <c r="B17" s="6">
        <v>9.40625</v>
      </c>
      <c r="C17" s="11">
        <v>745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0.70769675925925923</v>
      </c>
      <c r="B18" s="6">
        <v>9.90625</v>
      </c>
      <c r="C18" s="11">
        <v>738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0.70770833333333338</v>
      </c>
      <c r="B19" s="6">
        <v>10.40625</v>
      </c>
      <c r="C19" s="11">
        <v>740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0.70770833333333338</v>
      </c>
      <c r="B20" s="6">
        <v>10.92188</v>
      </c>
      <c r="C20" s="11">
        <v>737</v>
      </c>
      <c r="D20" s="11" t="s">
        <v>17</v>
      </c>
      <c r="E20" s="9">
        <v>0.62</v>
      </c>
      <c r="F20" s="11" t="s">
        <v>18</v>
      </c>
      <c r="G20" s="12"/>
      <c r="H20" s="12"/>
      <c r="I20" s="12"/>
    </row>
    <row r="21" spans="1:9" x14ac:dyDescent="0.2">
      <c r="A21" s="8">
        <v>0.70771990740740742</v>
      </c>
      <c r="B21" s="6">
        <v>11.4375</v>
      </c>
      <c r="C21" s="11">
        <v>739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DC35-DF02-4223-A257-3C440CB699D4}">
  <dimension ref="A1:I21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0.70974537037037033</v>
      </c>
      <c r="B2" s="6">
        <v>1.777344</v>
      </c>
      <c r="C2" s="11">
        <v>711</v>
      </c>
      <c r="D2" s="11" t="s">
        <v>25</v>
      </c>
      <c r="E2" s="11" t="s">
        <v>25</v>
      </c>
      <c r="F2" s="11" t="s">
        <v>25</v>
      </c>
      <c r="G2" s="12">
        <f>91*(1023-G3)/G3</f>
        <v>38.746341463414637</v>
      </c>
      <c r="H2" s="12"/>
      <c r="I2" s="12"/>
    </row>
    <row r="3" spans="1:9" x14ac:dyDescent="0.2">
      <c r="A3" s="8">
        <v>0.70974537037037033</v>
      </c>
      <c r="B3" s="6">
        <v>2.2460939999999998</v>
      </c>
      <c r="C3" s="11">
        <v>713</v>
      </c>
      <c r="D3" s="11" t="s">
        <v>25</v>
      </c>
      <c r="E3" s="11" t="s">
        <v>25</v>
      </c>
      <c r="F3" s="11" t="s">
        <v>25</v>
      </c>
      <c r="G3">
        <f>AVERAGE(C2:C21)</f>
        <v>717.5</v>
      </c>
      <c r="H3" s="12"/>
      <c r="I3" s="12"/>
    </row>
    <row r="4" spans="1:9" x14ac:dyDescent="0.2">
      <c r="A4" s="8">
        <v>0.70975694444444448</v>
      </c>
      <c r="B4" s="6">
        <v>2.7460939999999998</v>
      </c>
      <c r="C4" s="11">
        <v>718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0.70975694444444448</v>
      </c>
      <c r="B5" s="6">
        <v>3.2773439999999998</v>
      </c>
      <c r="C5" s="11">
        <v>715</v>
      </c>
      <c r="D5" s="11" t="s">
        <v>27</v>
      </c>
      <c r="E5" s="9">
        <v>0.62</v>
      </c>
      <c r="F5" s="11" t="s">
        <v>18</v>
      </c>
      <c r="G5" s="12"/>
      <c r="H5" s="12"/>
      <c r="I5" s="12"/>
    </row>
    <row r="6" spans="1:9" x14ac:dyDescent="0.2">
      <c r="A6" s="8">
        <v>0.70976851851851852</v>
      </c>
      <c r="B6" s="6">
        <v>3.7929689999999998</v>
      </c>
      <c r="C6" s="11">
        <v>717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0.70976851851851852</v>
      </c>
      <c r="B7" s="6">
        <v>4.2929690000000003</v>
      </c>
      <c r="C7" s="11">
        <v>716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0.70978009259259256</v>
      </c>
      <c r="B8" s="6">
        <v>4.7929690000000003</v>
      </c>
      <c r="C8" s="11">
        <v>716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0.70978009259259256</v>
      </c>
      <c r="B9" s="6">
        <v>5.2929690000000003</v>
      </c>
      <c r="C9" s="11">
        <v>720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0.70979166666666671</v>
      </c>
      <c r="B10" s="6">
        <v>5.8242190000000003</v>
      </c>
      <c r="C10" s="11">
        <v>715</v>
      </c>
      <c r="D10" s="11" t="s">
        <v>27</v>
      </c>
      <c r="E10" s="9">
        <v>0.62</v>
      </c>
      <c r="F10" s="11" t="s">
        <v>18</v>
      </c>
      <c r="G10" s="12"/>
      <c r="H10" s="12"/>
      <c r="I10" s="12"/>
    </row>
    <row r="11" spans="1:9" x14ac:dyDescent="0.2">
      <c r="A11" s="8">
        <v>0.70979166666666671</v>
      </c>
      <c r="B11" s="6">
        <v>6.3398440000000003</v>
      </c>
      <c r="C11" s="11">
        <v>719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0.70980324074074075</v>
      </c>
      <c r="B12" s="6">
        <v>6.8398440000000003</v>
      </c>
      <c r="C12" s="11">
        <v>716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0.70980324074074075</v>
      </c>
      <c r="B13" s="6">
        <v>7.3398440000000003</v>
      </c>
      <c r="C13" s="11">
        <v>718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0.70981481481481479</v>
      </c>
      <c r="B14" s="6">
        <v>7.8398440000000003</v>
      </c>
      <c r="C14" s="11">
        <v>722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0.70981481481481479</v>
      </c>
      <c r="B15" s="6">
        <v>8.3710939999999994</v>
      </c>
      <c r="C15" s="11">
        <v>718</v>
      </c>
      <c r="D15" s="11" t="s">
        <v>27</v>
      </c>
      <c r="E15" s="9">
        <v>0.62</v>
      </c>
      <c r="F15" s="11" t="s">
        <v>18</v>
      </c>
      <c r="G15" s="12"/>
      <c r="H15" s="12"/>
      <c r="I15" s="12"/>
    </row>
    <row r="16" spans="1:9" x14ac:dyDescent="0.2">
      <c r="A16" s="8">
        <v>0.70982638888888894</v>
      </c>
      <c r="B16" s="6">
        <v>8.8867189999999994</v>
      </c>
      <c r="C16" s="11">
        <v>720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0.70982638888888894</v>
      </c>
      <c r="B17" s="6">
        <v>9.3867189999999994</v>
      </c>
      <c r="C17" s="11">
        <v>718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0.70983796296296298</v>
      </c>
      <c r="B18" s="6">
        <v>9.8867189999999994</v>
      </c>
      <c r="C18" s="11">
        <v>720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0.70983796296296298</v>
      </c>
      <c r="B19" s="6">
        <v>10.38672</v>
      </c>
      <c r="C19" s="11">
        <v>717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0.70984953703703701</v>
      </c>
      <c r="B20" s="6">
        <v>10.91797</v>
      </c>
      <c r="C20" s="11">
        <v>721</v>
      </c>
      <c r="D20" s="11" t="s">
        <v>27</v>
      </c>
      <c r="E20" s="9">
        <v>0.62</v>
      </c>
      <c r="F20" s="11" t="s">
        <v>18</v>
      </c>
      <c r="G20" s="12"/>
      <c r="H20" s="12"/>
      <c r="I20" s="12"/>
    </row>
    <row r="21" spans="1:9" x14ac:dyDescent="0.2">
      <c r="A21" s="8">
        <v>0.70984953703703701</v>
      </c>
      <c r="B21" s="6">
        <v>11.433590000000001</v>
      </c>
      <c r="C21" s="11">
        <v>720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0C09F-9AFD-4F67-ACB6-A5D5BD5EF4D6}">
  <dimension ref="A1:I24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0.71250000000000002</v>
      </c>
      <c r="B2" s="6">
        <v>1.796875</v>
      </c>
      <c r="C2" s="11">
        <v>760</v>
      </c>
      <c r="D2" s="11" t="s">
        <v>25</v>
      </c>
      <c r="E2" s="11" t="s">
        <v>25</v>
      </c>
      <c r="F2" s="11" t="s">
        <v>25</v>
      </c>
      <c r="G2" s="12">
        <f>91*(1023-G3)/G3</f>
        <v>31.716846823095171</v>
      </c>
      <c r="H2" s="12"/>
      <c r="I2" s="12"/>
    </row>
    <row r="3" spans="1:9" x14ac:dyDescent="0.2">
      <c r="A3" s="8">
        <v>0.71251157407407406</v>
      </c>
      <c r="B3" s="6">
        <v>2.265625</v>
      </c>
      <c r="C3" s="11">
        <v>757</v>
      </c>
      <c r="D3" s="11" t="s">
        <v>25</v>
      </c>
      <c r="E3" s="11" t="s">
        <v>25</v>
      </c>
      <c r="F3" s="11" t="s">
        <v>25</v>
      </c>
      <c r="G3">
        <f>AVERAGE(C2:C21)</f>
        <v>758.6</v>
      </c>
      <c r="H3" s="12"/>
      <c r="I3" s="12"/>
    </row>
    <row r="4" spans="1:9" x14ac:dyDescent="0.2">
      <c r="A4" s="8">
        <v>0.71251157407407406</v>
      </c>
      <c r="B4" s="6">
        <v>2.765625</v>
      </c>
      <c r="C4" s="11">
        <v>761</v>
      </c>
      <c r="D4" s="11" t="s">
        <v>25</v>
      </c>
      <c r="E4" s="11" t="s">
        <v>25</v>
      </c>
      <c r="F4" s="11" t="s">
        <v>25</v>
      </c>
      <c r="H4" s="12"/>
      <c r="I4" s="12"/>
    </row>
    <row r="5" spans="1:9" x14ac:dyDescent="0.2">
      <c r="A5" s="8">
        <v>0.7125231481481481</v>
      </c>
      <c r="B5" s="6">
        <v>3.296875</v>
      </c>
      <c r="C5" s="11">
        <v>757</v>
      </c>
      <c r="D5" s="11" t="s">
        <v>27</v>
      </c>
      <c r="E5" s="9">
        <v>0.62</v>
      </c>
      <c r="F5" s="11" t="s">
        <v>18</v>
      </c>
      <c r="G5" s="12"/>
      <c r="H5" s="12"/>
      <c r="I5" s="12"/>
    </row>
    <row r="6" spans="1:9" x14ac:dyDescent="0.2">
      <c r="A6" s="8">
        <v>0.7125231481481481</v>
      </c>
      <c r="B6" s="6">
        <v>3.8125</v>
      </c>
      <c r="C6" s="11">
        <v>758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0.71253472222222225</v>
      </c>
      <c r="B7" s="6">
        <v>4.3125</v>
      </c>
      <c r="C7" s="11">
        <v>761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0.71253472222222225</v>
      </c>
      <c r="B8" s="6">
        <v>4.8125</v>
      </c>
      <c r="C8" s="11">
        <v>760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0.71254629629629629</v>
      </c>
      <c r="B9" s="6">
        <v>5.3125</v>
      </c>
      <c r="C9" s="11">
        <v>757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0.71254629629629629</v>
      </c>
      <c r="B10" s="6">
        <v>5.84375</v>
      </c>
      <c r="C10" s="11">
        <v>758</v>
      </c>
      <c r="D10" s="11" t="s">
        <v>17</v>
      </c>
      <c r="E10" s="9">
        <v>0.61</v>
      </c>
      <c r="F10" s="11" t="s">
        <v>18</v>
      </c>
      <c r="G10" s="12"/>
      <c r="H10" s="12"/>
      <c r="I10" s="12"/>
    </row>
    <row r="11" spans="1:9" x14ac:dyDescent="0.2">
      <c r="A11" s="8">
        <v>0.71255787037037033</v>
      </c>
      <c r="B11" s="6">
        <v>6.359375</v>
      </c>
      <c r="C11" s="11">
        <v>761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0.71255787037037033</v>
      </c>
      <c r="B12" s="6">
        <v>6.859375</v>
      </c>
      <c r="C12" s="11">
        <v>757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0.71256944444444448</v>
      </c>
      <c r="B13" s="6">
        <v>7.359375</v>
      </c>
      <c r="C13" s="11">
        <v>759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0.71256944444444448</v>
      </c>
      <c r="B14" s="6">
        <v>7.859375</v>
      </c>
      <c r="C14" s="11">
        <v>763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0.71258101851851852</v>
      </c>
      <c r="B15" s="6">
        <v>8.375</v>
      </c>
      <c r="C15" s="11">
        <v>757</v>
      </c>
      <c r="D15" s="11" t="s">
        <v>27</v>
      </c>
      <c r="E15" s="9">
        <v>0.62</v>
      </c>
      <c r="F15" s="11" t="s">
        <v>18</v>
      </c>
      <c r="G15" s="12"/>
      <c r="H15" s="12"/>
      <c r="I15" s="12"/>
    </row>
    <row r="16" spans="1:9" x14ac:dyDescent="0.2">
      <c r="A16" s="8">
        <v>0.71258101851851852</v>
      </c>
      <c r="B16" s="6">
        <v>8.890625</v>
      </c>
      <c r="C16" s="11">
        <v>758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0.71259259259259256</v>
      </c>
      <c r="B17" s="6">
        <v>9.3867189999999994</v>
      </c>
      <c r="C17" s="11">
        <v>759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0.71259259259259256</v>
      </c>
      <c r="B18" s="6">
        <v>9.8867189999999994</v>
      </c>
      <c r="C18" s="11">
        <v>760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0.71260416666666671</v>
      </c>
      <c r="B19" s="6">
        <v>10.38672</v>
      </c>
      <c r="C19" s="11">
        <v>756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0.71260416666666671</v>
      </c>
      <c r="B20" s="6">
        <v>10.91797</v>
      </c>
      <c r="C20" s="11">
        <v>758</v>
      </c>
      <c r="D20" s="11" t="s">
        <v>19</v>
      </c>
      <c r="E20" s="11" t="s">
        <v>19</v>
      </c>
      <c r="F20" s="11">
        <v>21</v>
      </c>
      <c r="G20" s="12"/>
      <c r="H20" s="12"/>
      <c r="I20" s="12"/>
    </row>
    <row r="21" spans="1:9" x14ac:dyDescent="0.2">
      <c r="A21" s="8">
        <v>0.71261574074074074</v>
      </c>
      <c r="B21" s="6">
        <v>11.433590000000001</v>
      </c>
      <c r="C21" s="11">
        <v>755</v>
      </c>
      <c r="D21" s="11" t="s">
        <v>19</v>
      </c>
      <c r="E21" s="11" t="s">
        <v>19</v>
      </c>
      <c r="F21" s="11">
        <v>3088</v>
      </c>
      <c r="G21" s="12"/>
      <c r="H21" s="12"/>
      <c r="I21" s="12"/>
    </row>
    <row r="22" spans="1:9" x14ac:dyDescent="0.2">
      <c r="A22" s="8">
        <v>0.71261574074074074</v>
      </c>
      <c r="B22" s="6">
        <v>11.964840000000001</v>
      </c>
      <c r="C22" s="4">
        <v>757</v>
      </c>
      <c r="D22" s="4" t="s">
        <v>19</v>
      </c>
      <c r="E22" s="4" t="s">
        <v>19</v>
      </c>
      <c r="F22" s="4">
        <v>4112</v>
      </c>
    </row>
    <row r="23" spans="1:9" x14ac:dyDescent="0.2">
      <c r="A23" s="8">
        <v>0.71262731481481478</v>
      </c>
      <c r="B23" s="6">
        <v>12.496090000000001</v>
      </c>
      <c r="C23" s="4">
        <v>757</v>
      </c>
      <c r="D23" s="4" t="s">
        <v>27</v>
      </c>
      <c r="E23" s="9">
        <v>0.62</v>
      </c>
      <c r="F23" s="4" t="s">
        <v>18</v>
      </c>
    </row>
    <row r="24" spans="1:9" x14ac:dyDescent="0.2">
      <c r="A24" s="8">
        <v>0.71262731481481478</v>
      </c>
      <c r="B24" s="6">
        <v>13.027340000000001</v>
      </c>
      <c r="C24" s="4">
        <v>759</v>
      </c>
      <c r="D24" s="4" t="s">
        <v>25</v>
      </c>
      <c r="E24" s="4" t="s">
        <v>25</v>
      </c>
      <c r="F24" s="4" t="s">
        <v>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dimension ref="A1:I27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0.71402777777777782</v>
      </c>
      <c r="B2" s="6">
        <v>1.78125</v>
      </c>
      <c r="C2" s="11">
        <v>764</v>
      </c>
      <c r="D2" s="11" t="s">
        <v>25</v>
      </c>
      <c r="E2" s="11" t="s">
        <v>25</v>
      </c>
      <c r="F2" s="11" t="s">
        <v>25</v>
      </c>
      <c r="G2" s="12">
        <f>91*(1023-G3)/G3</f>
        <v>31.041164132144736</v>
      </c>
    </row>
    <row r="3" spans="1:9" x14ac:dyDescent="0.2">
      <c r="A3" s="8">
        <v>0.71403935185185186</v>
      </c>
      <c r="B3" s="6">
        <v>2.25</v>
      </c>
      <c r="C3" s="11">
        <v>767</v>
      </c>
      <c r="D3" s="11" t="s">
        <v>25</v>
      </c>
      <c r="E3" s="11" t="s">
        <v>25</v>
      </c>
      <c r="F3" s="11" t="s">
        <v>25</v>
      </c>
      <c r="G3" s="12">
        <f>AVERAGE(C2:C21)</f>
        <v>762.8</v>
      </c>
      <c r="I3" s="12"/>
    </row>
    <row r="4" spans="1:9" x14ac:dyDescent="0.2">
      <c r="A4" s="8">
        <v>0.71403935185185186</v>
      </c>
      <c r="B4" s="6">
        <v>2.765625</v>
      </c>
      <c r="C4" s="11">
        <v>766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0.71405092592592589</v>
      </c>
      <c r="B5" s="6">
        <v>3.28125</v>
      </c>
      <c r="C5" s="11">
        <v>762</v>
      </c>
      <c r="D5" s="11" t="s">
        <v>27</v>
      </c>
      <c r="E5" s="9">
        <v>0.62</v>
      </c>
      <c r="F5" s="11" t="s">
        <v>18</v>
      </c>
      <c r="G5" s="12"/>
      <c r="H5" s="12"/>
      <c r="I5" s="12"/>
    </row>
    <row r="6" spans="1:9" x14ac:dyDescent="0.2">
      <c r="A6" s="8">
        <v>0.71405092592592589</v>
      </c>
      <c r="B6" s="6">
        <v>3.796875</v>
      </c>
      <c r="C6" s="11">
        <v>763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0.71406250000000004</v>
      </c>
      <c r="B7" s="6">
        <v>4.296875</v>
      </c>
      <c r="C7" s="11">
        <v>766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0.71406250000000004</v>
      </c>
      <c r="B8" s="6">
        <v>4.796875</v>
      </c>
      <c r="C8" s="11">
        <v>763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0.71407407407407408</v>
      </c>
      <c r="B9" s="6">
        <v>5.296875</v>
      </c>
      <c r="C9" s="11">
        <v>766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0.71407407407407408</v>
      </c>
      <c r="B10" s="6">
        <v>5.828125</v>
      </c>
      <c r="C10" s="11">
        <v>763</v>
      </c>
      <c r="D10" s="11" t="s">
        <v>27</v>
      </c>
      <c r="E10" s="9">
        <v>0.62</v>
      </c>
      <c r="F10" s="11" t="s">
        <v>18</v>
      </c>
      <c r="G10" s="12"/>
      <c r="H10" s="12"/>
      <c r="I10" s="12"/>
    </row>
    <row r="11" spans="1:9" x14ac:dyDescent="0.2">
      <c r="A11" s="8">
        <v>0.71408564814814812</v>
      </c>
      <c r="B11" s="6">
        <v>6.34375</v>
      </c>
      <c r="C11" s="11">
        <v>765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0.71409722222222227</v>
      </c>
      <c r="B12" s="6">
        <v>6.84375</v>
      </c>
      <c r="C12" s="11">
        <v>762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0.71409722222222227</v>
      </c>
      <c r="B13" s="6">
        <v>7.34375</v>
      </c>
      <c r="C13" s="11">
        <v>762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0.71410879629629631</v>
      </c>
      <c r="B14" s="6">
        <v>7.84375</v>
      </c>
      <c r="C14" s="11">
        <v>762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0.71410879629629631</v>
      </c>
      <c r="B15" s="6">
        <v>8.359375</v>
      </c>
      <c r="C15" s="11">
        <v>764</v>
      </c>
      <c r="D15" s="11" t="s">
        <v>19</v>
      </c>
      <c r="E15" s="11" t="s">
        <v>19</v>
      </c>
      <c r="F15" s="11">
        <v>21</v>
      </c>
      <c r="G15" s="12"/>
      <c r="H15" s="12"/>
      <c r="I15" s="12"/>
    </row>
    <row r="16" spans="1:9" x14ac:dyDescent="0.2">
      <c r="A16" s="8">
        <v>0.71412037037037035</v>
      </c>
      <c r="B16" s="6">
        <v>8.890625</v>
      </c>
      <c r="C16" s="11">
        <v>760</v>
      </c>
      <c r="D16" s="11" t="s">
        <v>19</v>
      </c>
      <c r="E16" s="11" t="s">
        <v>19</v>
      </c>
      <c r="F16" s="11">
        <v>4112</v>
      </c>
      <c r="G16" s="12"/>
      <c r="H16" s="12"/>
      <c r="I16" s="12"/>
    </row>
    <row r="17" spans="1:9" x14ac:dyDescent="0.2">
      <c r="A17" s="8">
        <v>0.71412037037037035</v>
      </c>
      <c r="B17" s="6">
        <v>9.40625</v>
      </c>
      <c r="C17" s="11">
        <v>760</v>
      </c>
      <c r="D17" s="11" t="s">
        <v>19</v>
      </c>
      <c r="E17" s="11" t="s">
        <v>19</v>
      </c>
      <c r="F17" s="11">
        <v>3088</v>
      </c>
      <c r="G17" s="12"/>
      <c r="H17" s="12"/>
      <c r="I17" s="12"/>
    </row>
    <row r="18" spans="1:9" x14ac:dyDescent="0.2">
      <c r="A18" s="8">
        <v>0.7141319444444445</v>
      </c>
      <c r="B18" s="6">
        <v>9.953125</v>
      </c>
      <c r="C18" s="11">
        <v>761</v>
      </c>
      <c r="D18" s="11" t="s">
        <v>27</v>
      </c>
      <c r="E18" s="9">
        <v>0.62</v>
      </c>
      <c r="F18" s="11" t="s">
        <v>18</v>
      </c>
      <c r="G18" s="12"/>
      <c r="H18" s="12"/>
      <c r="I18" s="12"/>
    </row>
    <row r="19" spans="1:9" x14ac:dyDescent="0.2">
      <c r="A19" s="8">
        <v>0.7141319444444445</v>
      </c>
      <c r="B19" s="6">
        <v>10.46875</v>
      </c>
      <c r="C19" s="11">
        <v>758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0.71414351851851854</v>
      </c>
      <c r="B20" s="6">
        <v>10.96875</v>
      </c>
      <c r="C20" s="11">
        <v>761</v>
      </c>
      <c r="D20" s="11" t="s">
        <v>25</v>
      </c>
      <c r="E20" s="11" t="s">
        <v>25</v>
      </c>
      <c r="F20" s="11" t="s">
        <v>25</v>
      </c>
      <c r="G20" s="12"/>
      <c r="H20" s="12"/>
      <c r="I20" s="12"/>
    </row>
    <row r="21" spans="1:9" x14ac:dyDescent="0.2">
      <c r="A21" s="8">
        <v>0.71414351851851854</v>
      </c>
      <c r="B21" s="6">
        <v>11.46875</v>
      </c>
      <c r="C21" s="11">
        <v>761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  <row r="22" spans="1:9" x14ac:dyDescent="0.2">
      <c r="A22" s="8">
        <v>0.71415509259259258</v>
      </c>
      <c r="B22" s="6">
        <v>11.96875</v>
      </c>
      <c r="C22" s="4">
        <v>762</v>
      </c>
      <c r="D22" s="4" t="s">
        <v>25</v>
      </c>
      <c r="E22" s="4" t="s">
        <v>25</v>
      </c>
      <c r="F22" s="4" t="s">
        <v>25</v>
      </c>
    </row>
    <row r="23" spans="1:9" x14ac:dyDescent="0.2">
      <c r="A23" s="8">
        <v>0.71415509259259258</v>
      </c>
      <c r="B23" s="6">
        <v>12.5</v>
      </c>
      <c r="C23" s="4">
        <v>763</v>
      </c>
      <c r="D23" s="4" t="s">
        <v>27</v>
      </c>
      <c r="E23" s="9">
        <v>0.62</v>
      </c>
      <c r="F23" s="4" t="s">
        <v>18</v>
      </c>
    </row>
    <row r="24" spans="1:9" x14ac:dyDescent="0.2">
      <c r="A24" s="8">
        <v>0.71416666666666662</v>
      </c>
      <c r="B24" s="6">
        <v>13.01563</v>
      </c>
      <c r="C24" s="4">
        <v>760</v>
      </c>
      <c r="D24" s="4" t="s">
        <v>25</v>
      </c>
      <c r="E24" s="4" t="s">
        <v>25</v>
      </c>
      <c r="F24" s="4" t="s">
        <v>25</v>
      </c>
    </row>
    <row r="25" spans="1:9" x14ac:dyDescent="0.2">
      <c r="A25" s="8">
        <v>0.71416666666666662</v>
      </c>
      <c r="B25" s="6">
        <v>13.51563</v>
      </c>
      <c r="C25" s="4">
        <v>759</v>
      </c>
      <c r="D25" s="4" t="s">
        <v>25</v>
      </c>
      <c r="E25" s="4" t="s">
        <v>25</v>
      </c>
      <c r="F25" s="4" t="s">
        <v>25</v>
      </c>
    </row>
    <row r="26" spans="1:9" x14ac:dyDescent="0.2">
      <c r="A26" s="8">
        <v>0.71417824074074077</v>
      </c>
      <c r="B26" s="6">
        <v>14.01563</v>
      </c>
      <c r="C26" s="4">
        <v>759</v>
      </c>
      <c r="D26" s="4" t="s">
        <v>25</v>
      </c>
      <c r="E26" s="4" t="s">
        <v>25</v>
      </c>
      <c r="F26" s="4" t="s">
        <v>25</v>
      </c>
    </row>
    <row r="27" spans="1:9" x14ac:dyDescent="0.2">
      <c r="A27" s="8">
        <v>0.71417824074074077</v>
      </c>
      <c r="B27" s="6">
        <v>14.51563</v>
      </c>
      <c r="C27" s="4">
        <v>757</v>
      </c>
      <c r="D27" s="4" t="s">
        <v>25</v>
      </c>
      <c r="E27" s="4" t="s">
        <v>25</v>
      </c>
      <c r="F27" s="4" t="s">
        <v>25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dimension ref="A1:I23"/>
  <sheetViews>
    <sheetView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0.71659722222222222</v>
      </c>
      <c r="B2" s="6">
        <v>1.7890630000000001</v>
      </c>
      <c r="C2" s="11">
        <v>744</v>
      </c>
      <c r="D2" s="11" t="s">
        <v>25</v>
      </c>
      <c r="E2" s="11" t="s">
        <v>25</v>
      </c>
      <c r="F2" s="11" t="s">
        <v>25</v>
      </c>
      <c r="G2" s="12">
        <f>91*(1023-G3)/G3</f>
        <v>33.705961152042867</v>
      </c>
      <c r="H2" s="12"/>
    </row>
    <row r="3" spans="1:9" x14ac:dyDescent="0.2">
      <c r="A3" s="8">
        <v>0.71660879629629626</v>
      </c>
      <c r="B3" s="6">
        <v>2.2578130000000001</v>
      </c>
      <c r="C3" s="11">
        <v>747</v>
      </c>
      <c r="D3" s="11" t="s">
        <v>25</v>
      </c>
      <c r="E3" s="11" t="s">
        <v>25</v>
      </c>
      <c r="F3" s="11" t="s">
        <v>25</v>
      </c>
      <c r="G3" s="12">
        <f>AVERAGE(C2:C21)</f>
        <v>746.5</v>
      </c>
      <c r="H3" s="12"/>
      <c r="I3" s="12"/>
    </row>
    <row r="4" spans="1:9" x14ac:dyDescent="0.2">
      <c r="A4" s="8">
        <v>0.71660879629629626</v>
      </c>
      <c r="B4" s="6">
        <v>2.7578130000000001</v>
      </c>
      <c r="C4" s="11">
        <v>747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0.71662037037037041</v>
      </c>
      <c r="B5" s="6">
        <v>3.2890630000000001</v>
      </c>
      <c r="C5" s="11">
        <v>745</v>
      </c>
      <c r="D5" s="11" t="s">
        <v>17</v>
      </c>
      <c r="E5" s="9">
        <v>0.61</v>
      </c>
      <c r="F5" s="11" t="s">
        <v>18</v>
      </c>
      <c r="G5" s="12"/>
      <c r="H5" s="12"/>
      <c r="I5" s="12"/>
    </row>
    <row r="6" spans="1:9" x14ac:dyDescent="0.2">
      <c r="A6" s="8">
        <v>0.71662037037037041</v>
      </c>
      <c r="B6" s="6">
        <v>3.8046880000000001</v>
      </c>
      <c r="C6" s="11">
        <v>747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0.71663194444444445</v>
      </c>
      <c r="B7" s="6">
        <v>4.3046879999999996</v>
      </c>
      <c r="C7" s="11">
        <v>745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0.71663194444444445</v>
      </c>
      <c r="B8" s="6">
        <v>4.8046879999999996</v>
      </c>
      <c r="C8" s="11">
        <v>749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0.71664351851851849</v>
      </c>
      <c r="B9" s="6">
        <v>5.3046879999999996</v>
      </c>
      <c r="C9" s="11">
        <v>744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0.71664351851851849</v>
      </c>
      <c r="B10" s="6">
        <v>5.8359379999999996</v>
      </c>
      <c r="C10" s="11">
        <v>746</v>
      </c>
      <c r="D10" s="11" t="s">
        <v>17</v>
      </c>
      <c r="E10" s="9">
        <v>0.61</v>
      </c>
      <c r="F10" s="11" t="s">
        <v>18</v>
      </c>
      <c r="G10" s="12"/>
      <c r="H10" s="12"/>
      <c r="I10" s="12"/>
    </row>
    <row r="11" spans="1:9" x14ac:dyDescent="0.2">
      <c r="A11" s="8">
        <v>0.71665509259259264</v>
      </c>
      <c r="B11" s="6">
        <v>6.3515629999999996</v>
      </c>
      <c r="C11" s="11">
        <v>748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0.71665509259259264</v>
      </c>
      <c r="B12" s="6">
        <v>6.8515629999999996</v>
      </c>
      <c r="C12" s="11">
        <v>744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0.71666666666666667</v>
      </c>
      <c r="B13" s="6">
        <v>7.3515629999999996</v>
      </c>
      <c r="C13" s="11">
        <v>749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0.71666666666666667</v>
      </c>
      <c r="B14" s="6">
        <v>7.8515629999999996</v>
      </c>
      <c r="C14" s="11">
        <v>748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0.71667824074074071</v>
      </c>
      <c r="B15" s="6">
        <v>8.3828130000000005</v>
      </c>
      <c r="C15" s="11">
        <v>748</v>
      </c>
      <c r="D15" s="11" t="s">
        <v>17</v>
      </c>
      <c r="E15" s="9">
        <v>0.61</v>
      </c>
      <c r="F15" s="11" t="s">
        <v>18</v>
      </c>
      <c r="G15" s="12"/>
      <c r="H15" s="12"/>
      <c r="I15" s="12"/>
    </row>
    <row r="16" spans="1:9" x14ac:dyDescent="0.2">
      <c r="A16" s="8">
        <v>0.71667824074074071</v>
      </c>
      <c r="B16" s="6">
        <v>8.8984380000000005</v>
      </c>
      <c r="C16" s="11">
        <v>744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0.71668981481481486</v>
      </c>
      <c r="B17" s="6">
        <v>9.3984380000000005</v>
      </c>
      <c r="C17" s="11">
        <v>747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0.71668981481481486</v>
      </c>
      <c r="B18" s="6">
        <v>9.8984380000000005</v>
      </c>
      <c r="C18" s="11">
        <v>748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0.7167013888888889</v>
      </c>
      <c r="B19" s="6">
        <v>10.398440000000001</v>
      </c>
      <c r="C19" s="11">
        <v>745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0.71671296296296294</v>
      </c>
      <c r="B20" s="6">
        <v>10.914059999999999</v>
      </c>
      <c r="C20" s="11">
        <v>751</v>
      </c>
      <c r="D20" s="11" t="s">
        <v>27</v>
      </c>
      <c r="E20" s="9">
        <v>0.62</v>
      </c>
      <c r="F20" s="11" t="s">
        <v>18</v>
      </c>
      <c r="G20" s="12"/>
      <c r="H20" s="12"/>
      <c r="I20" s="12"/>
    </row>
    <row r="21" spans="1:9" x14ac:dyDescent="0.2">
      <c r="A21" s="8">
        <v>0.71671296296296294</v>
      </c>
      <c r="B21" s="6">
        <v>11.441409999999999</v>
      </c>
      <c r="C21" s="11">
        <v>744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  <row r="22" spans="1:9" x14ac:dyDescent="0.2">
      <c r="A22" s="8">
        <v>0.71672453703703709</v>
      </c>
      <c r="B22" s="6">
        <v>11.941409999999999</v>
      </c>
      <c r="C22" s="4">
        <v>747</v>
      </c>
      <c r="D22" s="4" t="s">
        <v>25</v>
      </c>
      <c r="E22" s="4" t="s">
        <v>25</v>
      </c>
      <c r="F22" s="4" t="s">
        <v>25</v>
      </c>
    </row>
    <row r="23" spans="1:9" x14ac:dyDescent="0.2">
      <c r="A23" s="8">
        <v>0.71672453703703709</v>
      </c>
      <c r="B23" s="6">
        <v>12.441409999999999</v>
      </c>
      <c r="C23" s="4">
        <v>744</v>
      </c>
      <c r="D23" s="4" t="s">
        <v>25</v>
      </c>
      <c r="E23" s="4" t="s">
        <v>25</v>
      </c>
      <c r="F23" s="4" t="s">
        <v>25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dimension ref="A1:I21"/>
  <sheetViews>
    <sheetView tabSelected="1"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0.71872685185185181</v>
      </c>
      <c r="B2" s="6">
        <v>1.78125</v>
      </c>
      <c r="C2" s="11">
        <v>752</v>
      </c>
      <c r="D2" s="11" t="s">
        <v>25</v>
      </c>
      <c r="E2" s="11" t="s">
        <v>25</v>
      </c>
      <c r="F2" s="11" t="s">
        <v>25</v>
      </c>
      <c r="G2" s="12">
        <f>91*(1023-G3)/G3</f>
        <v>32.236695790309774</v>
      </c>
    </row>
    <row r="3" spans="1:9" x14ac:dyDescent="0.2">
      <c r="A3" s="8">
        <v>0.71872685185185181</v>
      </c>
      <c r="B3" s="6">
        <v>2.2539060000000002</v>
      </c>
      <c r="C3" s="11">
        <v>754</v>
      </c>
      <c r="D3" s="11" t="s">
        <v>25</v>
      </c>
      <c r="E3" s="11" t="s">
        <v>25</v>
      </c>
      <c r="F3" s="11" t="s">
        <v>25</v>
      </c>
      <c r="G3" s="12">
        <f>AVERAGE(C2:C21)</f>
        <v>755.4</v>
      </c>
      <c r="H3" s="12"/>
      <c r="I3" s="12"/>
    </row>
    <row r="4" spans="1:9" x14ac:dyDescent="0.2">
      <c r="A4" s="8">
        <v>0.71873842592592596</v>
      </c>
      <c r="B4" s="6">
        <v>2.7539060000000002</v>
      </c>
      <c r="C4" s="11">
        <v>753</v>
      </c>
      <c r="D4" s="11" t="s">
        <v>25</v>
      </c>
      <c r="E4" s="11" t="s">
        <v>25</v>
      </c>
      <c r="F4" s="11" t="s">
        <v>25</v>
      </c>
      <c r="G4" s="12"/>
      <c r="H4" s="12"/>
      <c r="I4" s="12"/>
    </row>
    <row r="5" spans="1:9" x14ac:dyDescent="0.2">
      <c r="A5" s="8">
        <v>0.71873842592592596</v>
      </c>
      <c r="B5" s="6">
        <v>3.28125</v>
      </c>
      <c r="C5" s="11">
        <v>756</v>
      </c>
      <c r="D5" s="11" t="s">
        <v>17</v>
      </c>
      <c r="E5" s="9">
        <v>0.61</v>
      </c>
      <c r="F5" s="11" t="s">
        <v>18</v>
      </c>
      <c r="G5" s="12"/>
      <c r="H5" s="12"/>
      <c r="I5" s="12"/>
    </row>
    <row r="6" spans="1:9" x14ac:dyDescent="0.2">
      <c r="A6" s="8">
        <v>0.71875</v>
      </c>
      <c r="B6" s="6">
        <v>3.796875</v>
      </c>
      <c r="C6" s="11">
        <v>756</v>
      </c>
      <c r="D6" s="11" t="s">
        <v>25</v>
      </c>
      <c r="E6" s="11" t="s">
        <v>25</v>
      </c>
      <c r="F6" s="11" t="s">
        <v>25</v>
      </c>
      <c r="G6" s="12"/>
      <c r="H6" s="12"/>
      <c r="I6" s="12"/>
    </row>
    <row r="7" spans="1:9" x14ac:dyDescent="0.2">
      <c r="A7" s="8">
        <v>0.71875</v>
      </c>
      <c r="B7" s="6">
        <v>4.296875</v>
      </c>
      <c r="C7" s="11">
        <v>753</v>
      </c>
      <c r="D7" s="11" t="s">
        <v>25</v>
      </c>
      <c r="E7" s="11" t="s">
        <v>25</v>
      </c>
      <c r="F7" s="11" t="s">
        <v>25</v>
      </c>
      <c r="G7" s="12"/>
      <c r="H7" s="12"/>
      <c r="I7" s="12"/>
    </row>
    <row r="8" spans="1:9" x14ac:dyDescent="0.2">
      <c r="A8" s="8">
        <v>0.71876157407407404</v>
      </c>
      <c r="B8" s="6">
        <v>4.796875</v>
      </c>
      <c r="C8" s="11">
        <v>754</v>
      </c>
      <c r="D8" s="11" t="s">
        <v>25</v>
      </c>
      <c r="E8" s="11" t="s">
        <v>25</v>
      </c>
      <c r="F8" s="11" t="s">
        <v>25</v>
      </c>
      <c r="G8" s="12"/>
      <c r="H8" s="12"/>
      <c r="I8" s="12"/>
    </row>
    <row r="9" spans="1:9" x14ac:dyDescent="0.2">
      <c r="A9" s="8">
        <v>0.71876157407407404</v>
      </c>
      <c r="B9" s="6">
        <v>5.296875</v>
      </c>
      <c r="C9" s="11">
        <v>758</v>
      </c>
      <c r="D9" s="11" t="s">
        <v>25</v>
      </c>
      <c r="E9" s="11" t="s">
        <v>25</v>
      </c>
      <c r="F9" s="11" t="s">
        <v>25</v>
      </c>
      <c r="G9" s="12"/>
      <c r="H9" s="12"/>
      <c r="I9" s="12"/>
    </row>
    <row r="10" spans="1:9" x14ac:dyDescent="0.2">
      <c r="A10" s="8">
        <v>0.71877314814814819</v>
      </c>
      <c r="B10" s="6">
        <v>5.828125</v>
      </c>
      <c r="C10" s="11">
        <v>758</v>
      </c>
      <c r="D10" s="11" t="s">
        <v>17</v>
      </c>
      <c r="E10" s="9">
        <v>0.61</v>
      </c>
      <c r="F10" s="11" t="s">
        <v>18</v>
      </c>
      <c r="G10" s="12"/>
      <c r="H10" s="12"/>
      <c r="I10" s="12"/>
    </row>
    <row r="11" spans="1:9" x14ac:dyDescent="0.2">
      <c r="A11" s="8">
        <v>0.71877314814814819</v>
      </c>
      <c r="B11" s="6">
        <v>6.34375</v>
      </c>
      <c r="C11" s="11">
        <v>760</v>
      </c>
      <c r="D11" s="11" t="s">
        <v>25</v>
      </c>
      <c r="E11" s="11" t="s">
        <v>25</v>
      </c>
      <c r="F11" s="11" t="s">
        <v>25</v>
      </c>
      <c r="G11" s="12"/>
      <c r="H11" s="12"/>
      <c r="I11" s="12"/>
    </row>
    <row r="12" spans="1:9" x14ac:dyDescent="0.2">
      <c r="A12" s="8">
        <v>0.71878472222222223</v>
      </c>
      <c r="B12" s="6">
        <v>6.84375</v>
      </c>
      <c r="C12" s="11">
        <v>754</v>
      </c>
      <c r="D12" s="11" t="s">
        <v>25</v>
      </c>
      <c r="E12" s="11" t="s">
        <v>25</v>
      </c>
      <c r="F12" s="11" t="s">
        <v>25</v>
      </c>
      <c r="G12" s="12"/>
      <c r="H12" s="12"/>
      <c r="I12" s="12"/>
    </row>
    <row r="13" spans="1:9" x14ac:dyDescent="0.2">
      <c r="A13" s="8">
        <v>0.71878472222222223</v>
      </c>
      <c r="B13" s="6">
        <v>7.34375</v>
      </c>
      <c r="C13" s="11">
        <v>755</v>
      </c>
      <c r="D13" s="11" t="s">
        <v>25</v>
      </c>
      <c r="E13" s="11" t="s">
        <v>25</v>
      </c>
      <c r="F13" s="11" t="s">
        <v>25</v>
      </c>
      <c r="G13" s="12"/>
      <c r="H13" s="12"/>
      <c r="I13" s="12"/>
    </row>
    <row r="14" spans="1:9" x14ac:dyDescent="0.2">
      <c r="A14" s="8">
        <v>0.71879629629629627</v>
      </c>
      <c r="B14" s="6">
        <v>7.84375</v>
      </c>
      <c r="C14" s="11">
        <v>757</v>
      </c>
      <c r="D14" s="11" t="s">
        <v>25</v>
      </c>
      <c r="E14" s="11" t="s">
        <v>25</v>
      </c>
      <c r="F14" s="11" t="s">
        <v>25</v>
      </c>
      <c r="G14" s="12"/>
      <c r="H14" s="12"/>
      <c r="I14" s="12"/>
    </row>
    <row r="15" spans="1:9" x14ac:dyDescent="0.2">
      <c r="A15" s="8">
        <v>0.71879629629629627</v>
      </c>
      <c r="B15" s="6">
        <v>8.375</v>
      </c>
      <c r="C15" s="11">
        <v>758</v>
      </c>
      <c r="D15" s="11" t="s">
        <v>27</v>
      </c>
      <c r="E15" s="9">
        <v>0.62</v>
      </c>
      <c r="F15" s="11" t="s">
        <v>18</v>
      </c>
      <c r="G15" s="12"/>
      <c r="H15" s="12"/>
      <c r="I15" s="12"/>
    </row>
    <row r="16" spans="1:9" x14ac:dyDescent="0.2">
      <c r="A16" s="8">
        <v>0.71880787037037042</v>
      </c>
      <c r="B16" s="6">
        <v>8.890625</v>
      </c>
      <c r="C16" s="11">
        <v>756</v>
      </c>
      <c r="D16" s="11" t="s">
        <v>25</v>
      </c>
      <c r="E16" s="11" t="s">
        <v>25</v>
      </c>
      <c r="F16" s="11" t="s">
        <v>25</v>
      </c>
      <c r="G16" s="12"/>
      <c r="H16" s="12"/>
      <c r="I16" s="12"/>
    </row>
    <row r="17" spans="1:9" x14ac:dyDescent="0.2">
      <c r="A17" s="8">
        <v>0.71880787037037042</v>
      </c>
      <c r="B17" s="6">
        <v>9.390625</v>
      </c>
      <c r="C17" s="11">
        <v>755</v>
      </c>
      <c r="D17" s="11" t="s">
        <v>25</v>
      </c>
      <c r="E17" s="11" t="s">
        <v>25</v>
      </c>
      <c r="F17" s="11" t="s">
        <v>25</v>
      </c>
      <c r="G17" s="12"/>
      <c r="H17" s="12"/>
      <c r="I17" s="12"/>
    </row>
    <row r="18" spans="1:9" x14ac:dyDescent="0.2">
      <c r="A18" s="8">
        <v>0.71881944444444446</v>
      </c>
      <c r="B18" s="6">
        <v>9.890625</v>
      </c>
      <c r="C18" s="11">
        <v>756</v>
      </c>
      <c r="D18" s="11" t="s">
        <v>25</v>
      </c>
      <c r="E18" s="11" t="s">
        <v>25</v>
      </c>
      <c r="F18" s="11" t="s">
        <v>25</v>
      </c>
      <c r="G18" s="12"/>
      <c r="H18" s="12"/>
      <c r="I18" s="12"/>
    </row>
    <row r="19" spans="1:9" x14ac:dyDescent="0.2">
      <c r="A19" s="8">
        <v>0.71881944444444446</v>
      </c>
      <c r="B19" s="6">
        <v>10.39063</v>
      </c>
      <c r="C19" s="11">
        <v>754</v>
      </c>
      <c r="D19" s="11" t="s">
        <v>25</v>
      </c>
      <c r="E19" s="11" t="s">
        <v>25</v>
      </c>
      <c r="F19" s="11" t="s">
        <v>25</v>
      </c>
      <c r="G19" s="12"/>
      <c r="H19" s="12"/>
      <c r="I19" s="12"/>
    </row>
    <row r="20" spans="1:9" x14ac:dyDescent="0.2">
      <c r="A20" s="8">
        <v>0.71883101851851849</v>
      </c>
      <c r="B20" s="6">
        <v>10.90625</v>
      </c>
      <c r="C20" s="11">
        <v>754</v>
      </c>
      <c r="D20" s="11" t="s">
        <v>27</v>
      </c>
      <c r="E20" s="9">
        <v>0.62</v>
      </c>
      <c r="F20" s="11" t="s">
        <v>18</v>
      </c>
      <c r="G20" s="12"/>
      <c r="H20" s="12"/>
      <c r="I20" s="12"/>
    </row>
    <row r="21" spans="1:9" x14ac:dyDescent="0.2">
      <c r="A21" s="8">
        <v>0.71883101851851849</v>
      </c>
      <c r="B21" s="6">
        <v>11.42188</v>
      </c>
      <c r="C21" s="11">
        <v>755</v>
      </c>
      <c r="D21" s="11" t="s">
        <v>25</v>
      </c>
      <c r="E21" s="11" t="s">
        <v>25</v>
      </c>
      <c r="F21" s="11" t="s">
        <v>25</v>
      </c>
      <c r="G21" s="12"/>
      <c r="H21" s="12"/>
      <c r="I21" s="12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0</v>
      </c>
      <c r="E6" s="15"/>
      <c r="F6" s="16"/>
    </row>
    <row r="7" spans="2:13" ht="12.75" customHeight="1" x14ac:dyDescent="0.2">
      <c r="B7" s="1" t="s">
        <v>6</v>
      </c>
      <c r="C7" s="2" t="b">
        <v>0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28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689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溫度</vt:lpstr>
      <vt:lpstr>標準</vt:lpstr>
      <vt:lpstr>紙杯 80度</vt:lpstr>
      <vt:lpstr>紙杯60度</vt:lpstr>
      <vt:lpstr>紙杯40度</vt:lpstr>
      <vt:lpstr>保麗龍球(大)80</vt:lpstr>
      <vt:lpstr>保麗龍球(大)60 </vt:lpstr>
      <vt:lpstr>保麗龍球(大)40</vt:lpstr>
      <vt:lpstr>保麗龍球(小)80</vt:lpstr>
      <vt:lpstr>保麗龍球(小)60</vt:lpstr>
      <vt:lpstr>保麗龍球(小)40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2026-10-08T06:05:47Z</dcterms:modified>
</cp:coreProperties>
</file>