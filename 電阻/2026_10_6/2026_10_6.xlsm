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電阻\2026_10_6\"/>
    </mc:Choice>
  </mc:AlternateContent>
  <xr:revisionPtr revIDLastSave="0" documentId="13_ncr:1_{33A0EC49-6E7D-48CA-AB3B-EB486E5CFE63}" xr6:coauthVersionLast="47" xr6:coauthVersionMax="47" xr10:uidLastSave="{00000000-0000-0000-0000-000000000000}"/>
  <bookViews>
    <workbookView xWindow="-120" yWindow="-120" windowWidth="20730" windowHeight="11160" tabRatio="795" activeTab="13" xr2:uid="{00000000-000D-0000-FFFF-FFFF00000000}"/>
  </bookViews>
  <sheets>
    <sheet name="溫度" sheetId="36" r:id="rId1"/>
    <sheet name="A2" sheetId="37" r:id="rId2"/>
    <sheet name="A3" sheetId="38" r:id="rId3"/>
    <sheet name="A4" sheetId="39" r:id="rId4"/>
    <sheet name="B2" sheetId="40" r:id="rId5"/>
    <sheet name="B3" sheetId="41" r:id="rId6"/>
    <sheet name="B4" sheetId="42" r:id="rId7"/>
    <sheet name="養樂多空白" sheetId="43" r:id="rId8"/>
    <sheet name="養樂多30" sheetId="44" r:id="rId9"/>
    <sheet name="養樂多40" sheetId="45" r:id="rId10"/>
    <sheet name="養樂多50" sheetId="46" r:id="rId11"/>
    <sheet name="養樂多60" sheetId="47" r:id="rId12"/>
    <sheet name="養樂多70" sheetId="48" r:id="rId13"/>
    <sheet name="養樂多80" sheetId="49" r:id="rId14"/>
    <sheet name="PLXDAQ_new_Settings" sheetId="6" state="hidden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3" i="49" l="1"/>
  <c r="I2" i="49"/>
  <c r="I3" i="48"/>
  <c r="I2" i="48"/>
  <c r="I3" i="47"/>
  <c r="I2" i="47"/>
  <c r="I3" i="46"/>
  <c r="I2" i="46"/>
  <c r="I3" i="45"/>
  <c r="I2" i="45"/>
  <c r="I3" i="44"/>
  <c r="I2" i="44"/>
  <c r="I3" i="43"/>
  <c r="I2" i="43"/>
  <c r="I3" i="42"/>
  <c r="I2" i="42"/>
  <c r="I3" i="41"/>
  <c r="I2" i="41"/>
  <c r="I3" i="40"/>
  <c r="I2" i="40"/>
  <c r="I3" i="39"/>
  <c r="I2" i="39"/>
  <c r="I3" i="38"/>
  <c r="I2" i="38"/>
  <c r="I3" i="37"/>
  <c r="I2" i="37"/>
</calcChain>
</file>

<file path=xl/sharedStrings.xml><?xml version="1.0" encoding="utf-8"?>
<sst xmlns="http://schemas.openxmlformats.org/spreadsheetml/2006/main" count="850" uniqueCount="41">
  <si>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</si>
  <si>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</si>
  <si>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</si>
  <si>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</si>
  <si>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</si>
  <si>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</si>
  <si>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</si>
  <si>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</si>
  <si>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</si>
  <si>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</si>
  <si>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</si>
  <si>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</si>
  <si>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</si>
  <si>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</si>
  <si>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</si>
  <si>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</si>
  <si>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</si>
  <si>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</si>
  <si>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</si>
  <si>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</si>
  <si>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A0</t>
  </si>
  <si>
    <t>T</t>
  </si>
  <si>
    <t>H</t>
  </si>
  <si>
    <t>Error Code</t>
  </si>
  <si>
    <t>None</t>
  </si>
  <si>
    <t>27.00 C</t>
  </si>
  <si>
    <t>NULL</t>
  </si>
  <si>
    <t>Error</t>
  </si>
  <si>
    <t>Date</t>
    <phoneticPr fontId="4" type="noConversion"/>
  </si>
  <si>
    <t>Time</t>
    <phoneticPr fontId="4" type="noConversion"/>
  </si>
  <si>
    <t>Timer</t>
    <phoneticPr fontId="4" type="noConversion"/>
  </si>
  <si>
    <t>A0</t>
    <phoneticPr fontId="4" type="noConversion"/>
  </si>
  <si>
    <t>T</t>
    <phoneticPr fontId="4" type="noConversion"/>
  </si>
  <si>
    <t>H</t>
    <phoneticPr fontId="4" type="noConversion"/>
  </si>
  <si>
    <t>Error Code</t>
    <phoneticPr fontId="4" type="noConversion"/>
  </si>
  <si>
    <t>28.00 C</t>
  </si>
  <si>
    <t>None</t>
    <phoneticPr fontId="4" type="noConversion"/>
  </si>
  <si>
    <t>Error</t>
    <phoneticPr fontId="4" type="noConversion"/>
  </si>
  <si>
    <t>28.00 C</t>
    <phoneticPr fontId="4" type="noConversion"/>
  </si>
  <si>
    <t>NULL</t>
    <phoneticPr fontId="4" type="noConversion"/>
  </si>
  <si>
    <t>B4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</si>
</sst>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9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1</xdr:row>
          <xdr:rowOff>28575</xdr:rowOff>
        </xdr:from>
        <xdr:to>
          <xdr:col>10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sheetPr codeName="工作表1"/>
  <dimension ref="A1:G21"/>
  <sheetViews>
    <sheetView workbookViewId="0">
      <selection activeCell="J7" sqref="J7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7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7" x14ac:dyDescent="0.2">
      <c r="A2" s="8">
        <v>46301</v>
      </c>
      <c r="B2" s="9">
        <v>0.68315972222222221</v>
      </c>
      <c r="C2" s="6">
        <v>1.875</v>
      </c>
      <c r="D2" s="4">
        <v>3</v>
      </c>
      <c r="E2" s="4" t="s">
        <v>24</v>
      </c>
      <c r="F2" s="4" t="s">
        <v>24</v>
      </c>
      <c r="G2" s="4" t="s">
        <v>24</v>
      </c>
    </row>
    <row r="3" spans="1:7" x14ac:dyDescent="0.2">
      <c r="A3" s="8">
        <v>46301</v>
      </c>
      <c r="B3" s="9">
        <v>0.68315972222222221</v>
      </c>
      <c r="C3" s="6">
        <v>2.28125</v>
      </c>
      <c r="D3" s="4">
        <v>2</v>
      </c>
      <c r="E3" s="4" t="s">
        <v>24</v>
      </c>
      <c r="F3" s="4" t="s">
        <v>24</v>
      </c>
      <c r="G3" s="4" t="s">
        <v>24</v>
      </c>
    </row>
    <row r="4" spans="1:7" x14ac:dyDescent="0.2">
      <c r="A4" s="8">
        <v>46301</v>
      </c>
      <c r="B4" s="9">
        <v>0.68317129629629625</v>
      </c>
      <c r="C4" s="6">
        <v>2.7734380000000001</v>
      </c>
      <c r="D4" s="4">
        <v>4</v>
      </c>
      <c r="E4" s="4" t="s">
        <v>24</v>
      </c>
      <c r="F4" s="4" t="s">
        <v>24</v>
      </c>
      <c r="G4" s="4" t="s">
        <v>24</v>
      </c>
    </row>
    <row r="5" spans="1:7" x14ac:dyDescent="0.2">
      <c r="A5" s="8">
        <v>46301</v>
      </c>
      <c r="B5" s="9">
        <v>0.68317129629629625</v>
      </c>
      <c r="C5" s="6">
        <v>3.3046880000000001</v>
      </c>
      <c r="D5" s="4">
        <v>0</v>
      </c>
      <c r="E5" s="4" t="s">
        <v>25</v>
      </c>
      <c r="F5" s="10">
        <v>0.6</v>
      </c>
      <c r="G5" s="4" t="s">
        <v>26</v>
      </c>
    </row>
    <row r="6" spans="1:7" x14ac:dyDescent="0.2">
      <c r="A6" s="8">
        <v>46301</v>
      </c>
      <c r="B6" s="9">
        <v>0.6831828703703704</v>
      </c>
      <c r="C6" s="6">
        <v>3.8203130000000001</v>
      </c>
      <c r="D6" s="4">
        <v>0</v>
      </c>
      <c r="E6" s="4" t="s">
        <v>24</v>
      </c>
      <c r="F6" s="4" t="s">
        <v>24</v>
      </c>
      <c r="G6" s="4" t="s">
        <v>24</v>
      </c>
    </row>
    <row r="7" spans="1:7" x14ac:dyDescent="0.2">
      <c r="A7" s="8">
        <v>46301</v>
      </c>
      <c r="B7" s="9">
        <v>0.6831828703703704</v>
      </c>
      <c r="C7" s="6">
        <v>4.3203129999999996</v>
      </c>
      <c r="D7" s="4">
        <v>3</v>
      </c>
      <c r="E7" s="4" t="s">
        <v>24</v>
      </c>
      <c r="F7" s="4" t="s">
        <v>24</v>
      </c>
      <c r="G7" s="4" t="s">
        <v>24</v>
      </c>
    </row>
    <row r="8" spans="1:7" x14ac:dyDescent="0.2">
      <c r="A8" s="8">
        <v>46301</v>
      </c>
      <c r="B8" s="9">
        <v>0.68319444444444444</v>
      </c>
      <c r="C8" s="6">
        <v>4.8203129999999996</v>
      </c>
      <c r="D8" s="4">
        <v>3</v>
      </c>
      <c r="E8" s="4" t="s">
        <v>24</v>
      </c>
      <c r="F8" s="4" t="s">
        <v>24</v>
      </c>
      <c r="G8" s="4" t="s">
        <v>24</v>
      </c>
    </row>
    <row r="9" spans="1:7" x14ac:dyDescent="0.2">
      <c r="A9" s="8">
        <v>46301</v>
      </c>
      <c r="B9" s="9">
        <v>0.68319444444444444</v>
      </c>
      <c r="C9" s="6">
        <v>5.3203129999999996</v>
      </c>
      <c r="D9" s="4">
        <v>1</v>
      </c>
      <c r="E9" s="4" t="s">
        <v>24</v>
      </c>
      <c r="F9" s="4" t="s">
        <v>24</v>
      </c>
      <c r="G9" s="4" t="s">
        <v>24</v>
      </c>
    </row>
    <row r="10" spans="1:7" x14ac:dyDescent="0.2">
      <c r="A10" s="8">
        <v>46301</v>
      </c>
      <c r="B10" s="9">
        <v>0.68320601851851848</v>
      </c>
      <c r="C10" s="6">
        <v>5.8515629999999996</v>
      </c>
      <c r="D10" s="4">
        <v>0</v>
      </c>
      <c r="E10" s="4" t="s">
        <v>25</v>
      </c>
      <c r="F10" s="10">
        <v>0.6</v>
      </c>
      <c r="G10" s="4" t="s">
        <v>26</v>
      </c>
    </row>
    <row r="11" spans="1:7" x14ac:dyDescent="0.2">
      <c r="A11" s="8">
        <v>46301</v>
      </c>
      <c r="B11" s="9">
        <v>0.68320601851851848</v>
      </c>
      <c r="C11" s="6">
        <v>6.3671879999999996</v>
      </c>
      <c r="D11" s="4">
        <v>0</v>
      </c>
      <c r="E11" s="4" t="s">
        <v>24</v>
      </c>
      <c r="F11" s="4" t="s">
        <v>24</v>
      </c>
      <c r="G11" s="4" t="s">
        <v>24</v>
      </c>
    </row>
    <row r="12" spans="1:7" x14ac:dyDescent="0.2">
      <c r="A12" s="8">
        <v>46301</v>
      </c>
      <c r="B12" s="9">
        <v>0.68321759259259263</v>
      </c>
      <c r="C12" s="6">
        <v>6.8671879999999996</v>
      </c>
      <c r="D12" s="4">
        <v>1</v>
      </c>
      <c r="E12" s="4" t="s">
        <v>24</v>
      </c>
      <c r="F12" s="4" t="s">
        <v>24</v>
      </c>
      <c r="G12" s="4" t="s">
        <v>24</v>
      </c>
    </row>
    <row r="13" spans="1:7" x14ac:dyDescent="0.2">
      <c r="A13" s="8">
        <v>46301</v>
      </c>
      <c r="B13" s="9">
        <v>0.68321759259259263</v>
      </c>
      <c r="C13" s="6">
        <v>7.3671879999999996</v>
      </c>
      <c r="D13" s="4">
        <v>4</v>
      </c>
      <c r="E13" s="4" t="s">
        <v>24</v>
      </c>
      <c r="F13" s="4" t="s">
        <v>24</v>
      </c>
      <c r="G13" s="4" t="s">
        <v>24</v>
      </c>
    </row>
    <row r="14" spans="1:7" x14ac:dyDescent="0.2">
      <c r="A14" s="8">
        <v>46301</v>
      </c>
      <c r="B14" s="9">
        <v>0.68322916666666667</v>
      </c>
      <c r="C14" s="6">
        <v>7.8671879999999996</v>
      </c>
      <c r="D14" s="4">
        <v>4</v>
      </c>
      <c r="E14" s="4" t="s">
        <v>24</v>
      </c>
      <c r="F14" s="4" t="s">
        <v>24</v>
      </c>
      <c r="G14" s="4" t="s">
        <v>24</v>
      </c>
    </row>
    <row r="15" spans="1:7" x14ac:dyDescent="0.2">
      <c r="A15" s="8">
        <v>46301</v>
      </c>
      <c r="B15" s="9">
        <v>0.68322916666666667</v>
      </c>
      <c r="C15" s="6">
        <v>8.3828130000000005</v>
      </c>
      <c r="D15" s="4">
        <v>0</v>
      </c>
      <c r="E15" s="4" t="s">
        <v>25</v>
      </c>
      <c r="F15" s="10">
        <v>0.6</v>
      </c>
      <c r="G15" s="4" t="s">
        <v>26</v>
      </c>
    </row>
    <row r="16" spans="1:7" x14ac:dyDescent="0.2">
      <c r="A16" s="8">
        <v>46301</v>
      </c>
      <c r="B16" s="9">
        <v>0.6832407407407407</v>
      </c>
      <c r="C16" s="6">
        <v>8.9140630000000005</v>
      </c>
      <c r="D16" s="4">
        <v>0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46301</v>
      </c>
      <c r="B17" s="9">
        <v>0.6832407407407407</v>
      </c>
      <c r="C17" s="6">
        <v>9.4140630000000005</v>
      </c>
      <c r="D17" s="4">
        <v>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46301</v>
      </c>
      <c r="B18" s="9">
        <v>0.68325231481481485</v>
      </c>
      <c r="C18" s="6">
        <v>9.9140630000000005</v>
      </c>
      <c r="D18" s="4">
        <v>0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46301</v>
      </c>
      <c r="B19" s="9">
        <v>0.68325231481481485</v>
      </c>
      <c r="C19" s="6">
        <v>10.414059999999999</v>
      </c>
      <c r="D19" s="4">
        <v>2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46301</v>
      </c>
      <c r="B20" s="9">
        <v>0.68326388888888889</v>
      </c>
      <c r="C20" s="6">
        <v>10.929690000000001</v>
      </c>
      <c r="D20" s="4">
        <v>0</v>
      </c>
      <c r="E20" s="4" t="s">
        <v>25</v>
      </c>
      <c r="F20" s="10">
        <v>0.6</v>
      </c>
      <c r="G20" s="4" t="s">
        <v>26</v>
      </c>
    </row>
    <row r="21" spans="1:7" x14ac:dyDescent="0.2">
      <c r="A21" s="8">
        <v>46301</v>
      </c>
      <c r="B21" s="9">
        <v>0.68327546296296293</v>
      </c>
      <c r="C21" s="6">
        <v>11.460940000000001</v>
      </c>
      <c r="D21" s="4">
        <v>3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8</xdr:col>
                    <xdr:colOff>295275</xdr:colOff>
                    <xdr:row>1</xdr:row>
                    <xdr:rowOff>28575</xdr:rowOff>
                  </from>
                  <to>
                    <xdr:col>10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A7EA8-BF6D-4BB3-824A-F7B8650DBE72}">
  <sheetPr codeName="工作表2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46301</v>
      </c>
      <c r="B2" s="9">
        <v>0.68793981481481481</v>
      </c>
      <c r="C2" s="6">
        <v>1.8125</v>
      </c>
      <c r="D2" s="11">
        <v>856</v>
      </c>
      <c r="E2" s="11" t="s">
        <v>24</v>
      </c>
      <c r="F2" s="11" t="s">
        <v>24</v>
      </c>
      <c r="G2" s="11" t="s">
        <v>24</v>
      </c>
      <c r="I2">
        <f>AVERAGE(D2:D21)</f>
        <v>853.05</v>
      </c>
    </row>
    <row r="3" spans="1:9" x14ac:dyDescent="0.2">
      <c r="A3" s="8">
        <v>46301</v>
      </c>
      <c r="B3" s="9">
        <v>0.68793981481481481</v>
      </c>
      <c r="C3" s="6">
        <v>2.28125</v>
      </c>
      <c r="D3" s="11">
        <v>855</v>
      </c>
      <c r="E3" s="11" t="s">
        <v>24</v>
      </c>
      <c r="F3" s="11" t="s">
        <v>24</v>
      </c>
      <c r="G3" s="11" t="s">
        <v>24</v>
      </c>
      <c r="I3">
        <f>91*(1023-I2)/I2</f>
        <v>18.129593810444881</v>
      </c>
    </row>
    <row r="4" spans="1:9" x14ac:dyDescent="0.2">
      <c r="A4" s="8">
        <v>46301</v>
      </c>
      <c r="B4" s="9">
        <v>0.68795138888888885</v>
      </c>
      <c r="C4" s="6">
        <v>2.78125</v>
      </c>
      <c r="D4" s="11">
        <v>856</v>
      </c>
      <c r="E4" s="11" t="s">
        <v>24</v>
      </c>
      <c r="F4" s="11" t="s">
        <v>24</v>
      </c>
      <c r="G4" s="11" t="s">
        <v>24</v>
      </c>
    </row>
    <row r="5" spans="1:9" x14ac:dyDescent="0.2">
      <c r="A5" s="8">
        <v>46301</v>
      </c>
      <c r="B5" s="9">
        <v>0.68795138888888885</v>
      </c>
      <c r="C5" s="6">
        <v>3.3125</v>
      </c>
      <c r="D5" s="11">
        <v>854</v>
      </c>
      <c r="E5" s="11" t="s">
        <v>25</v>
      </c>
      <c r="F5" s="10">
        <v>0.6</v>
      </c>
      <c r="G5" s="11" t="s">
        <v>26</v>
      </c>
    </row>
    <row r="6" spans="1:9" x14ac:dyDescent="0.2">
      <c r="A6" s="8">
        <v>46301</v>
      </c>
      <c r="B6" s="9">
        <v>0.687962962962963</v>
      </c>
      <c r="C6" s="6">
        <v>3.828125</v>
      </c>
      <c r="D6" s="11">
        <v>854</v>
      </c>
      <c r="E6" s="11" t="s">
        <v>24</v>
      </c>
      <c r="F6" s="11" t="s">
        <v>24</v>
      </c>
      <c r="G6" s="11" t="s">
        <v>24</v>
      </c>
    </row>
    <row r="7" spans="1:9" x14ac:dyDescent="0.2">
      <c r="A7" s="8">
        <v>46301</v>
      </c>
      <c r="B7" s="9">
        <v>0.687962962962963</v>
      </c>
      <c r="C7" s="6">
        <v>4.328125</v>
      </c>
      <c r="D7" s="11">
        <v>854</v>
      </c>
      <c r="E7" s="11" t="s">
        <v>24</v>
      </c>
      <c r="F7" s="11" t="s">
        <v>24</v>
      </c>
      <c r="G7" s="11" t="s">
        <v>24</v>
      </c>
    </row>
    <row r="8" spans="1:9" x14ac:dyDescent="0.2">
      <c r="A8" s="8">
        <v>46301</v>
      </c>
      <c r="B8" s="9">
        <v>0.68797453703703704</v>
      </c>
      <c r="C8" s="6">
        <v>4.828125</v>
      </c>
      <c r="D8" s="11">
        <v>855</v>
      </c>
      <c r="E8" s="11" t="s">
        <v>24</v>
      </c>
      <c r="F8" s="11" t="s">
        <v>24</v>
      </c>
      <c r="G8" s="11" t="s">
        <v>24</v>
      </c>
    </row>
    <row r="9" spans="1:9" x14ac:dyDescent="0.2">
      <c r="A9" s="8">
        <v>46301</v>
      </c>
      <c r="B9" s="9">
        <v>0.68797453703703704</v>
      </c>
      <c r="C9" s="6">
        <v>5.328125</v>
      </c>
      <c r="D9" s="11">
        <v>853</v>
      </c>
      <c r="E9" s="11" t="s">
        <v>24</v>
      </c>
      <c r="F9" s="11" t="s">
        <v>24</v>
      </c>
      <c r="G9" s="11" t="s">
        <v>24</v>
      </c>
    </row>
    <row r="10" spans="1:9" x14ac:dyDescent="0.2">
      <c r="A10" s="8">
        <v>46301</v>
      </c>
      <c r="B10" s="9">
        <v>0.68798611111111108</v>
      </c>
      <c r="C10" s="6">
        <v>5.859375</v>
      </c>
      <c r="D10" s="11">
        <v>853</v>
      </c>
      <c r="E10" s="11" t="s">
        <v>25</v>
      </c>
      <c r="F10" s="10">
        <v>0.6</v>
      </c>
      <c r="G10" s="11" t="s">
        <v>26</v>
      </c>
    </row>
    <row r="11" spans="1:9" x14ac:dyDescent="0.2">
      <c r="A11" s="8">
        <v>46301</v>
      </c>
      <c r="B11" s="9">
        <v>0.68798611111111108</v>
      </c>
      <c r="C11" s="6">
        <v>6.375</v>
      </c>
      <c r="D11" s="11">
        <v>851</v>
      </c>
      <c r="E11" s="11" t="s">
        <v>24</v>
      </c>
      <c r="F11" s="11" t="s">
        <v>24</v>
      </c>
      <c r="G11" s="11" t="s">
        <v>24</v>
      </c>
    </row>
    <row r="12" spans="1:9" x14ac:dyDescent="0.2">
      <c r="A12" s="8">
        <v>46301</v>
      </c>
      <c r="B12" s="9">
        <v>0.68799768518518523</v>
      </c>
      <c r="C12" s="6">
        <v>6.875</v>
      </c>
      <c r="D12" s="11">
        <v>854</v>
      </c>
      <c r="E12" s="11" t="s">
        <v>24</v>
      </c>
      <c r="F12" s="11" t="s">
        <v>24</v>
      </c>
      <c r="G12" s="11" t="s">
        <v>24</v>
      </c>
    </row>
    <row r="13" spans="1:9" x14ac:dyDescent="0.2">
      <c r="A13" s="8">
        <v>46301</v>
      </c>
      <c r="B13" s="9">
        <v>0.68799768518518523</v>
      </c>
      <c r="C13" s="6">
        <v>7.375</v>
      </c>
      <c r="D13" s="11">
        <v>852</v>
      </c>
      <c r="E13" s="11" t="s">
        <v>24</v>
      </c>
      <c r="F13" s="11" t="s">
        <v>24</v>
      </c>
      <c r="G13" s="11" t="s">
        <v>24</v>
      </c>
    </row>
    <row r="14" spans="1:9" x14ac:dyDescent="0.2">
      <c r="A14" s="8">
        <v>46301</v>
      </c>
      <c r="B14" s="9">
        <v>0.68800925925925926</v>
      </c>
      <c r="C14" s="6">
        <v>7.875</v>
      </c>
      <c r="D14" s="11">
        <v>853</v>
      </c>
      <c r="E14" s="11" t="s">
        <v>24</v>
      </c>
      <c r="F14" s="11" t="s">
        <v>24</v>
      </c>
      <c r="G14" s="11" t="s">
        <v>24</v>
      </c>
    </row>
    <row r="15" spans="1:9" x14ac:dyDescent="0.2">
      <c r="A15" s="8">
        <v>46301</v>
      </c>
      <c r="B15" s="9">
        <v>0.68800925925925926</v>
      </c>
      <c r="C15" s="6">
        <v>8.390625</v>
      </c>
      <c r="D15" s="11">
        <v>853</v>
      </c>
      <c r="E15" s="11" t="s">
        <v>27</v>
      </c>
      <c r="F15" s="11" t="s">
        <v>27</v>
      </c>
      <c r="G15" s="11">
        <v>21</v>
      </c>
    </row>
    <row r="16" spans="1:9" x14ac:dyDescent="0.2">
      <c r="A16" s="8">
        <v>46301</v>
      </c>
      <c r="B16" s="9">
        <v>0.6880208333333333</v>
      </c>
      <c r="C16" s="6">
        <v>8.921875</v>
      </c>
      <c r="D16" s="11">
        <v>851</v>
      </c>
      <c r="E16" s="11" t="s">
        <v>27</v>
      </c>
      <c r="F16" s="11" t="s">
        <v>27</v>
      </c>
      <c r="G16" s="11">
        <v>5136</v>
      </c>
    </row>
    <row r="17" spans="1:7" x14ac:dyDescent="0.2">
      <c r="A17" s="8">
        <v>46301</v>
      </c>
      <c r="B17" s="9">
        <v>0.6880208333333333</v>
      </c>
      <c r="C17" s="6">
        <v>9.4375</v>
      </c>
      <c r="D17" s="11">
        <v>851</v>
      </c>
      <c r="E17" s="11" t="s">
        <v>27</v>
      </c>
      <c r="F17" s="11" t="s">
        <v>27</v>
      </c>
      <c r="G17" s="11">
        <v>4112</v>
      </c>
    </row>
    <row r="18" spans="1:7" x14ac:dyDescent="0.2">
      <c r="A18" s="8">
        <v>46301</v>
      </c>
      <c r="B18" s="9">
        <v>0.68803240740740745</v>
      </c>
      <c r="C18" s="6">
        <v>9.984375</v>
      </c>
      <c r="D18" s="11">
        <v>852</v>
      </c>
      <c r="E18" s="11" t="s">
        <v>25</v>
      </c>
      <c r="F18" s="10">
        <v>0.6</v>
      </c>
      <c r="G18" s="11" t="s">
        <v>26</v>
      </c>
    </row>
    <row r="19" spans="1:7" x14ac:dyDescent="0.2">
      <c r="A19" s="8">
        <v>46301</v>
      </c>
      <c r="B19" s="9">
        <v>0.68803240740740745</v>
      </c>
      <c r="C19" s="6">
        <v>10.5</v>
      </c>
      <c r="D19" s="11">
        <v>852</v>
      </c>
      <c r="E19" s="11" t="s">
        <v>24</v>
      </c>
      <c r="F19" s="11" t="s">
        <v>24</v>
      </c>
      <c r="G19" s="11" t="s">
        <v>24</v>
      </c>
    </row>
    <row r="20" spans="1:7" x14ac:dyDescent="0.2">
      <c r="A20" s="8">
        <v>46301</v>
      </c>
      <c r="B20" s="9">
        <v>0.68804398148148149</v>
      </c>
      <c r="C20" s="6">
        <v>11</v>
      </c>
      <c r="D20" s="11">
        <v>850</v>
      </c>
      <c r="E20" s="11" t="s">
        <v>24</v>
      </c>
      <c r="F20" s="11" t="s">
        <v>24</v>
      </c>
      <c r="G20" s="11" t="s">
        <v>24</v>
      </c>
    </row>
    <row r="21" spans="1:7" x14ac:dyDescent="0.2">
      <c r="A21" s="8">
        <v>46301</v>
      </c>
      <c r="B21" s="9">
        <v>0.68804398148148149</v>
      </c>
      <c r="C21" s="6">
        <v>11.5</v>
      </c>
      <c r="D21" s="11">
        <v>852</v>
      </c>
      <c r="E21" s="11" t="s">
        <v>24</v>
      </c>
      <c r="F21" s="11" t="s">
        <v>24</v>
      </c>
      <c r="G21" s="11" t="s">
        <v>24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FBC8F-6716-49C5-A917-7E42D7A78111}">
  <sheetPr codeName="工作表3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46301</v>
      </c>
      <c r="B2" s="9">
        <v>0.68917824074074074</v>
      </c>
      <c r="C2" s="6">
        <v>1.808594</v>
      </c>
      <c r="D2" s="4">
        <v>821</v>
      </c>
      <c r="E2" s="4" t="s">
        <v>24</v>
      </c>
      <c r="F2" s="4" t="s">
        <v>24</v>
      </c>
      <c r="G2" s="4" t="s">
        <v>24</v>
      </c>
      <c r="I2">
        <f>AVERAGE(D2:D21)</f>
        <v>816.7</v>
      </c>
    </row>
    <row r="3" spans="1:9" x14ac:dyDescent="0.2">
      <c r="A3" s="8">
        <v>46301</v>
      </c>
      <c r="B3" s="9">
        <v>0.68918981481481478</v>
      </c>
      <c r="C3" s="6">
        <v>2.2734380000000001</v>
      </c>
      <c r="D3" s="4">
        <v>819</v>
      </c>
      <c r="E3" s="4" t="s">
        <v>24</v>
      </c>
      <c r="F3" s="4" t="s">
        <v>24</v>
      </c>
      <c r="G3" s="4" t="s">
        <v>24</v>
      </c>
      <c r="I3">
        <f>91*(1023-I2)/I2</f>
        <v>22.98677604995714</v>
      </c>
    </row>
    <row r="4" spans="1:9" x14ac:dyDescent="0.2">
      <c r="A4" s="8">
        <v>46301</v>
      </c>
      <c r="B4" s="9">
        <v>0.68918981481481478</v>
      </c>
      <c r="C4" s="6">
        <v>2.7734380000000001</v>
      </c>
      <c r="D4" s="4">
        <v>818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46301</v>
      </c>
      <c r="B5" s="9">
        <v>0.68920138888888893</v>
      </c>
      <c r="C5" s="6">
        <v>3.3046880000000001</v>
      </c>
      <c r="D5" s="4">
        <v>819</v>
      </c>
      <c r="E5" s="4" t="s">
        <v>25</v>
      </c>
      <c r="F5" s="10">
        <v>0.6</v>
      </c>
      <c r="G5" s="4" t="s">
        <v>26</v>
      </c>
    </row>
    <row r="6" spans="1:9" x14ac:dyDescent="0.2">
      <c r="A6" s="8">
        <v>46301</v>
      </c>
      <c r="B6" s="9">
        <v>0.68920138888888893</v>
      </c>
      <c r="C6" s="6">
        <v>3.8203130000000001</v>
      </c>
      <c r="D6" s="4">
        <v>819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46301</v>
      </c>
      <c r="B7" s="9">
        <v>0.68921296296296297</v>
      </c>
      <c r="C7" s="6">
        <v>4.3203129999999996</v>
      </c>
      <c r="D7" s="4">
        <v>817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46301</v>
      </c>
      <c r="B8" s="9">
        <v>0.68921296296296297</v>
      </c>
      <c r="C8" s="6">
        <v>4.8203129999999996</v>
      </c>
      <c r="D8" s="4">
        <v>817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46301</v>
      </c>
      <c r="B9" s="9">
        <v>0.68922453703703701</v>
      </c>
      <c r="C9" s="6">
        <v>5.3203129999999996</v>
      </c>
      <c r="D9" s="4">
        <v>818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46301</v>
      </c>
      <c r="B10" s="9">
        <v>0.68922453703703701</v>
      </c>
      <c r="C10" s="6">
        <v>5.8359379999999996</v>
      </c>
      <c r="D10" s="4">
        <v>815</v>
      </c>
      <c r="E10" s="4" t="s">
        <v>25</v>
      </c>
      <c r="F10" s="10">
        <v>0.6</v>
      </c>
      <c r="G10" s="4" t="s">
        <v>26</v>
      </c>
    </row>
    <row r="11" spans="1:9" x14ac:dyDescent="0.2">
      <c r="A11" s="8">
        <v>46301</v>
      </c>
      <c r="B11" s="9">
        <v>0.68923611111111116</v>
      </c>
      <c r="C11" s="6">
        <v>6.3671879999999996</v>
      </c>
      <c r="D11" s="4">
        <v>817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46301</v>
      </c>
      <c r="B12" s="9">
        <v>0.68923611111111116</v>
      </c>
      <c r="C12" s="6">
        <v>6.8671879999999996</v>
      </c>
      <c r="D12" s="4">
        <v>816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46301</v>
      </c>
      <c r="B13" s="9">
        <v>0.6892476851851852</v>
      </c>
      <c r="C13" s="6">
        <v>7.3671879999999996</v>
      </c>
      <c r="D13" s="4">
        <v>815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46301</v>
      </c>
      <c r="B14" s="9">
        <v>0.6892476851851852</v>
      </c>
      <c r="C14" s="6">
        <v>7.8671879999999996</v>
      </c>
      <c r="D14" s="4">
        <v>815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46301</v>
      </c>
      <c r="B15" s="9">
        <v>0.68925925925925924</v>
      </c>
      <c r="C15" s="6">
        <v>8.3828130000000005</v>
      </c>
      <c r="D15" s="4">
        <v>817</v>
      </c>
      <c r="E15" s="4" t="s">
        <v>25</v>
      </c>
      <c r="F15" s="10">
        <v>0.6</v>
      </c>
      <c r="G15" s="4" t="s">
        <v>26</v>
      </c>
    </row>
    <row r="16" spans="1:9" x14ac:dyDescent="0.2">
      <c r="A16" s="8">
        <v>46301</v>
      </c>
      <c r="B16" s="9">
        <v>0.68925925925925924</v>
      </c>
      <c r="C16" s="6">
        <v>8.9140630000000005</v>
      </c>
      <c r="D16" s="4">
        <v>816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46301</v>
      </c>
      <c r="B17" s="9">
        <v>0.68927083333333339</v>
      </c>
      <c r="C17" s="6">
        <v>9.4140630000000005</v>
      </c>
      <c r="D17" s="4">
        <v>815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46301</v>
      </c>
      <c r="B18" s="9">
        <v>0.68927083333333339</v>
      </c>
      <c r="C18" s="6">
        <v>9.9140630000000005</v>
      </c>
      <c r="D18" s="4">
        <v>814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46301</v>
      </c>
      <c r="B19" s="9">
        <v>0.68928240740740743</v>
      </c>
      <c r="C19" s="6">
        <v>10.414059999999999</v>
      </c>
      <c r="D19" s="4">
        <v>815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46301</v>
      </c>
      <c r="B20" s="9">
        <v>0.68929398148148147</v>
      </c>
      <c r="C20" s="6">
        <v>10.929690000000001</v>
      </c>
      <c r="D20" s="4">
        <v>815</v>
      </c>
      <c r="E20" s="4" t="s">
        <v>25</v>
      </c>
      <c r="F20" s="10">
        <v>0.28000000000000003</v>
      </c>
      <c r="G20" s="4" t="s">
        <v>26</v>
      </c>
    </row>
    <row r="21" spans="1:7" x14ac:dyDescent="0.2">
      <c r="A21" s="8">
        <v>46301</v>
      </c>
      <c r="B21" s="9">
        <v>0.68929398148148147</v>
      </c>
      <c r="C21" s="6">
        <v>11.460940000000001</v>
      </c>
      <c r="D21" s="4">
        <v>816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79F3D-BDF3-43A8-A71A-A4B3316EB6D1}">
  <sheetPr codeName="工作表4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10.28515625" style="6" bestFit="1" customWidth="1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46301</v>
      </c>
      <c r="B2" s="9">
        <v>0.6918981481481481</v>
      </c>
      <c r="C2" s="6">
        <v>1.8125</v>
      </c>
      <c r="D2" s="11">
        <v>799</v>
      </c>
      <c r="E2" s="11" t="s">
        <v>36</v>
      </c>
      <c r="F2" s="11" t="s">
        <v>36</v>
      </c>
      <c r="G2" s="11" t="s">
        <v>36</v>
      </c>
      <c r="I2">
        <f>AVERAGE(D2:D21)</f>
        <v>798</v>
      </c>
    </row>
    <row r="3" spans="1:9" x14ac:dyDescent="0.2">
      <c r="A3" s="8">
        <v>46301</v>
      </c>
      <c r="B3" s="9">
        <v>0.6918981481481481</v>
      </c>
      <c r="C3" s="6">
        <v>2.28125</v>
      </c>
      <c r="D3" s="11">
        <v>800</v>
      </c>
      <c r="E3" s="11" t="s">
        <v>36</v>
      </c>
      <c r="F3" s="11" t="s">
        <v>36</v>
      </c>
      <c r="G3" s="11" t="s">
        <v>36</v>
      </c>
      <c r="I3">
        <f>91*(1023-I2)/I2</f>
        <v>25.657894736842106</v>
      </c>
    </row>
    <row r="4" spans="1:9" x14ac:dyDescent="0.2">
      <c r="A4" s="8">
        <v>46301</v>
      </c>
      <c r="B4" s="9">
        <v>0.69190972222222225</v>
      </c>
      <c r="C4" s="6">
        <v>2.78125</v>
      </c>
      <c r="D4" s="11">
        <v>799</v>
      </c>
      <c r="E4" s="11" t="s">
        <v>36</v>
      </c>
      <c r="F4" s="11" t="s">
        <v>36</v>
      </c>
      <c r="G4" s="11" t="s">
        <v>36</v>
      </c>
    </row>
    <row r="5" spans="1:9" x14ac:dyDescent="0.2">
      <c r="A5" s="8">
        <v>46301</v>
      </c>
      <c r="B5" s="9">
        <v>0.69192129629629628</v>
      </c>
      <c r="C5" s="6">
        <v>3.796875</v>
      </c>
      <c r="D5" s="11">
        <v>799</v>
      </c>
      <c r="E5" s="11" t="s">
        <v>37</v>
      </c>
      <c r="F5" s="10" t="s">
        <v>27</v>
      </c>
      <c r="G5" s="11">
        <v>-237</v>
      </c>
    </row>
    <row r="6" spans="1:9" x14ac:dyDescent="0.2">
      <c r="A6" s="8">
        <v>46301</v>
      </c>
      <c r="B6" s="9">
        <v>0.69192129629629628</v>
      </c>
      <c r="C6" s="6">
        <v>4.328125</v>
      </c>
      <c r="D6" s="11">
        <v>798</v>
      </c>
      <c r="E6" s="11" t="s">
        <v>37</v>
      </c>
      <c r="F6" s="11" t="s">
        <v>37</v>
      </c>
      <c r="G6" s="11">
        <v>4112</v>
      </c>
    </row>
    <row r="7" spans="1:9" x14ac:dyDescent="0.2">
      <c r="A7" s="8">
        <v>46301</v>
      </c>
      <c r="B7" s="9">
        <v>0.69193287037037032</v>
      </c>
      <c r="C7" s="6">
        <v>5.3632809999999997</v>
      </c>
      <c r="D7" s="11">
        <v>797</v>
      </c>
      <c r="E7" s="11" t="s">
        <v>37</v>
      </c>
      <c r="F7" s="11" t="s">
        <v>37</v>
      </c>
      <c r="G7" s="11">
        <v>-237</v>
      </c>
    </row>
    <row r="8" spans="1:9" x14ac:dyDescent="0.2">
      <c r="A8" s="8">
        <v>46301</v>
      </c>
      <c r="B8" s="9">
        <v>0.69194444444444447</v>
      </c>
      <c r="C8" s="6">
        <v>5.8945309999999997</v>
      </c>
      <c r="D8" s="11">
        <v>798</v>
      </c>
      <c r="E8" s="11" t="s">
        <v>37</v>
      </c>
      <c r="F8" s="11" t="s">
        <v>37</v>
      </c>
      <c r="G8" s="11">
        <v>4112</v>
      </c>
    </row>
    <row r="9" spans="1:9" x14ac:dyDescent="0.2">
      <c r="A9" s="8">
        <v>46301</v>
      </c>
      <c r="B9" s="9">
        <v>0.69195601851851851</v>
      </c>
      <c r="C9" s="6">
        <v>6.9257809999999997</v>
      </c>
      <c r="D9" s="11">
        <v>798</v>
      </c>
      <c r="E9" s="11" t="s">
        <v>37</v>
      </c>
      <c r="F9" s="11" t="s">
        <v>37</v>
      </c>
      <c r="G9" s="11">
        <v>-237</v>
      </c>
    </row>
    <row r="10" spans="1:9" x14ac:dyDescent="0.2">
      <c r="A10" s="8">
        <v>46301</v>
      </c>
      <c r="B10" s="9">
        <v>0.69195601851851851</v>
      </c>
      <c r="C10" s="6">
        <v>7.4570309999999997</v>
      </c>
      <c r="D10" s="11">
        <v>799</v>
      </c>
      <c r="E10" s="11" t="s">
        <v>37</v>
      </c>
      <c r="F10" s="10" t="s">
        <v>27</v>
      </c>
      <c r="G10" s="11">
        <v>4112</v>
      </c>
    </row>
    <row r="11" spans="1:9" x14ac:dyDescent="0.2">
      <c r="A11" s="8">
        <v>46301</v>
      </c>
      <c r="B11" s="9">
        <v>0.69196759259259255</v>
      </c>
      <c r="C11" s="6">
        <v>7.9882809999999997</v>
      </c>
      <c r="D11" s="11">
        <v>798</v>
      </c>
      <c r="E11" s="11" t="s">
        <v>38</v>
      </c>
      <c r="F11" s="10">
        <v>0.61</v>
      </c>
      <c r="G11" s="11" t="s">
        <v>39</v>
      </c>
    </row>
    <row r="12" spans="1:9" x14ac:dyDescent="0.2">
      <c r="A12" s="8">
        <v>46301</v>
      </c>
      <c r="B12" s="9">
        <v>0.69196759259259255</v>
      </c>
      <c r="C12" s="6">
        <v>8.5195310000000006</v>
      </c>
      <c r="D12" s="11">
        <v>797</v>
      </c>
      <c r="E12" s="11" t="s">
        <v>36</v>
      </c>
      <c r="F12" s="11" t="s">
        <v>36</v>
      </c>
      <c r="G12" s="11" t="s">
        <v>36</v>
      </c>
    </row>
    <row r="13" spans="1:9" x14ac:dyDescent="0.2">
      <c r="A13" s="8">
        <v>46301</v>
      </c>
      <c r="B13" s="9">
        <v>0.6919791666666667</v>
      </c>
      <c r="C13" s="6">
        <v>9.0195310000000006</v>
      </c>
      <c r="D13" s="11">
        <v>800</v>
      </c>
      <c r="E13" s="11" t="s">
        <v>36</v>
      </c>
      <c r="F13" s="11" t="s">
        <v>36</v>
      </c>
      <c r="G13" s="11" t="s">
        <v>36</v>
      </c>
    </row>
    <row r="14" spans="1:9" x14ac:dyDescent="0.2">
      <c r="A14" s="8">
        <v>46301</v>
      </c>
      <c r="B14" s="9">
        <v>0.6919791666666667</v>
      </c>
      <c r="C14" s="6">
        <v>9.5195310000000006</v>
      </c>
      <c r="D14" s="11">
        <v>797</v>
      </c>
      <c r="E14" s="11" t="s">
        <v>36</v>
      </c>
      <c r="F14" s="11" t="s">
        <v>36</v>
      </c>
      <c r="G14" s="11" t="s">
        <v>36</v>
      </c>
    </row>
    <row r="15" spans="1:9" x14ac:dyDescent="0.2">
      <c r="A15" s="8">
        <v>46301</v>
      </c>
      <c r="B15" s="9">
        <v>0.69199074074074074</v>
      </c>
      <c r="C15" s="6">
        <v>10.01953</v>
      </c>
      <c r="D15" s="11">
        <v>797</v>
      </c>
      <c r="E15" s="11" t="s">
        <v>36</v>
      </c>
      <c r="F15" s="11" t="s">
        <v>36</v>
      </c>
      <c r="G15" s="11" t="s">
        <v>24</v>
      </c>
    </row>
    <row r="16" spans="1:9" x14ac:dyDescent="0.2">
      <c r="A16" s="8">
        <v>46301</v>
      </c>
      <c r="B16" s="9">
        <v>0.69200231481481478</v>
      </c>
      <c r="C16" s="6">
        <v>11.035159999999999</v>
      </c>
      <c r="D16" s="11">
        <v>799</v>
      </c>
      <c r="E16" s="11" t="s">
        <v>37</v>
      </c>
      <c r="F16" s="11" t="s">
        <v>37</v>
      </c>
      <c r="G16" s="11">
        <v>-237</v>
      </c>
    </row>
    <row r="17" spans="1:7" x14ac:dyDescent="0.2">
      <c r="A17" s="8">
        <v>46301</v>
      </c>
      <c r="B17" s="9">
        <v>0.69200231481481478</v>
      </c>
      <c r="C17" s="6">
        <v>11.566409999999999</v>
      </c>
      <c r="D17" s="4">
        <v>797</v>
      </c>
      <c r="E17" s="4" t="s">
        <v>37</v>
      </c>
      <c r="F17" s="4" t="s">
        <v>37</v>
      </c>
      <c r="G17" s="4">
        <v>4112</v>
      </c>
    </row>
    <row r="18" spans="1:7" x14ac:dyDescent="0.2">
      <c r="A18" s="8">
        <v>46301</v>
      </c>
      <c r="B18" s="9">
        <v>0.69202546296296297</v>
      </c>
      <c r="C18" s="6">
        <v>12.59375</v>
      </c>
      <c r="D18" s="4">
        <v>796</v>
      </c>
      <c r="E18" s="4" t="s">
        <v>37</v>
      </c>
      <c r="F18" s="4" t="s">
        <v>37</v>
      </c>
      <c r="G18" s="4">
        <v>-237</v>
      </c>
    </row>
    <row r="19" spans="1:7" x14ac:dyDescent="0.2">
      <c r="A19" s="8">
        <v>46301</v>
      </c>
      <c r="B19" s="9">
        <v>0.69202546296296297</v>
      </c>
      <c r="C19" s="6">
        <v>13.125</v>
      </c>
      <c r="D19" s="4">
        <v>797</v>
      </c>
      <c r="E19" s="4" t="s">
        <v>37</v>
      </c>
      <c r="F19" s="4" t="s">
        <v>37</v>
      </c>
      <c r="G19" s="4">
        <v>3088</v>
      </c>
    </row>
    <row r="20" spans="1:7" x14ac:dyDescent="0.2">
      <c r="A20" s="8">
        <v>46301</v>
      </c>
      <c r="B20" s="9">
        <v>0.69203703703703701</v>
      </c>
      <c r="C20" s="6">
        <v>14.15625</v>
      </c>
      <c r="D20" s="4">
        <v>798</v>
      </c>
      <c r="E20" s="4" t="s">
        <v>37</v>
      </c>
      <c r="F20" s="4" t="s">
        <v>37</v>
      </c>
      <c r="G20" s="4">
        <v>-237</v>
      </c>
    </row>
    <row r="21" spans="1:7" x14ac:dyDescent="0.2">
      <c r="A21" s="8">
        <v>46301</v>
      </c>
      <c r="B21" s="9">
        <v>0.69204861111111116</v>
      </c>
      <c r="C21" s="6">
        <v>14.6875</v>
      </c>
      <c r="D21" s="4">
        <v>797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C842A-F1C9-446E-B0F0-860A3B25FAC4}">
  <sheetPr codeName="工作表5"/>
  <dimension ref="A1:I22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46301</v>
      </c>
      <c r="B2" s="9">
        <v>0.69317129629629626</v>
      </c>
      <c r="C2" s="6">
        <v>1.808594</v>
      </c>
      <c r="D2" s="11">
        <v>781</v>
      </c>
      <c r="E2" s="11" t="s">
        <v>24</v>
      </c>
      <c r="F2" s="11" t="s">
        <v>24</v>
      </c>
      <c r="G2" s="11" t="s">
        <v>24</v>
      </c>
      <c r="I2">
        <f>AVERAGE(D2:D21)</f>
        <v>781.6</v>
      </c>
    </row>
    <row r="3" spans="1:9" x14ac:dyDescent="0.2">
      <c r="A3" s="8">
        <v>46301</v>
      </c>
      <c r="B3" s="9">
        <v>0.69317129629629626</v>
      </c>
      <c r="C3" s="6">
        <v>2.296875</v>
      </c>
      <c r="D3" s="11">
        <v>781</v>
      </c>
      <c r="E3" s="11" t="s">
        <v>24</v>
      </c>
      <c r="F3" s="11" t="s">
        <v>24</v>
      </c>
      <c r="G3" s="11" t="s">
        <v>24</v>
      </c>
      <c r="I3">
        <f>91*(1023-I2)/I2</f>
        <v>28.105680655066525</v>
      </c>
    </row>
    <row r="4" spans="1:9" x14ac:dyDescent="0.2">
      <c r="A4" s="8">
        <v>46301</v>
      </c>
      <c r="B4" s="9">
        <v>0.69318287037037041</v>
      </c>
      <c r="C4" s="6">
        <v>2.796875</v>
      </c>
      <c r="D4" s="11">
        <v>782</v>
      </c>
      <c r="E4" s="11" t="s">
        <v>24</v>
      </c>
      <c r="F4" s="11" t="s">
        <v>24</v>
      </c>
      <c r="G4" s="11" t="s">
        <v>24</v>
      </c>
    </row>
    <row r="5" spans="1:9" x14ac:dyDescent="0.2">
      <c r="A5" s="8">
        <v>46301</v>
      </c>
      <c r="B5" s="9">
        <v>0.69318287037037041</v>
      </c>
      <c r="C5" s="6">
        <v>3.3085939999999998</v>
      </c>
      <c r="D5" s="11">
        <v>782</v>
      </c>
      <c r="E5" s="11" t="s">
        <v>35</v>
      </c>
      <c r="F5" s="10">
        <v>0.6</v>
      </c>
      <c r="G5" s="11" t="s">
        <v>26</v>
      </c>
    </row>
    <row r="6" spans="1:9" x14ac:dyDescent="0.2">
      <c r="A6" s="8">
        <v>46301</v>
      </c>
      <c r="B6" s="9">
        <v>0.69319444444444445</v>
      </c>
      <c r="C6" s="6">
        <v>3.828125</v>
      </c>
      <c r="D6" s="11">
        <v>783</v>
      </c>
      <c r="E6" s="11" t="s">
        <v>24</v>
      </c>
      <c r="F6" s="11" t="s">
        <v>24</v>
      </c>
      <c r="G6" s="11" t="s">
        <v>24</v>
      </c>
    </row>
    <row r="7" spans="1:9" x14ac:dyDescent="0.2">
      <c r="A7" s="8">
        <v>46301</v>
      </c>
      <c r="B7" s="9">
        <v>0.69319444444444445</v>
      </c>
      <c r="C7" s="6">
        <v>4.328125</v>
      </c>
      <c r="D7" s="11">
        <v>781</v>
      </c>
      <c r="E7" s="11" t="s">
        <v>24</v>
      </c>
      <c r="F7" s="11" t="s">
        <v>24</v>
      </c>
      <c r="G7" s="11" t="s">
        <v>24</v>
      </c>
    </row>
    <row r="8" spans="1:9" x14ac:dyDescent="0.2">
      <c r="A8" s="8">
        <v>46301</v>
      </c>
      <c r="B8" s="9">
        <v>0.69320601851851849</v>
      </c>
      <c r="C8" s="6">
        <v>4.8242190000000003</v>
      </c>
      <c r="D8" s="11">
        <v>781</v>
      </c>
      <c r="E8" s="11" t="s">
        <v>24</v>
      </c>
      <c r="F8" s="11" t="s">
        <v>24</v>
      </c>
      <c r="G8" s="11" t="s">
        <v>24</v>
      </c>
    </row>
    <row r="9" spans="1:9" x14ac:dyDescent="0.2">
      <c r="A9" s="8">
        <v>46301</v>
      </c>
      <c r="B9" s="9">
        <v>0.69320601851851849</v>
      </c>
      <c r="C9" s="6">
        <v>5.3242190000000003</v>
      </c>
      <c r="D9" s="11">
        <v>782</v>
      </c>
      <c r="E9" s="11" t="s">
        <v>24</v>
      </c>
      <c r="F9" s="11" t="s">
        <v>24</v>
      </c>
      <c r="G9" s="11" t="s">
        <v>24</v>
      </c>
    </row>
    <row r="10" spans="1:9" x14ac:dyDescent="0.2">
      <c r="A10" s="8">
        <v>46301</v>
      </c>
      <c r="B10" s="9">
        <v>0.69321759259259264</v>
      </c>
      <c r="C10" s="6">
        <v>5.8554690000000003</v>
      </c>
      <c r="D10" s="11">
        <v>782</v>
      </c>
      <c r="E10" s="11" t="s">
        <v>35</v>
      </c>
      <c r="F10" s="10">
        <v>0.61</v>
      </c>
      <c r="G10" s="11" t="s">
        <v>26</v>
      </c>
    </row>
    <row r="11" spans="1:9" x14ac:dyDescent="0.2">
      <c r="A11" s="8">
        <v>46301</v>
      </c>
      <c r="B11" s="9">
        <v>0.69321759259259264</v>
      </c>
      <c r="C11" s="6">
        <v>6.3710940000000003</v>
      </c>
      <c r="D11" s="11">
        <v>781</v>
      </c>
      <c r="E11" s="11" t="s">
        <v>24</v>
      </c>
      <c r="F11" s="11" t="s">
        <v>24</v>
      </c>
      <c r="G11" s="11" t="s">
        <v>24</v>
      </c>
    </row>
    <row r="12" spans="1:9" x14ac:dyDescent="0.2">
      <c r="A12" s="8">
        <v>46301</v>
      </c>
      <c r="B12" s="9">
        <v>0.69322916666666667</v>
      </c>
      <c r="C12" s="6">
        <v>6.8710940000000003</v>
      </c>
      <c r="D12" s="11">
        <v>782</v>
      </c>
      <c r="E12" s="11" t="s">
        <v>24</v>
      </c>
      <c r="F12" s="11" t="s">
        <v>24</v>
      </c>
      <c r="G12" s="11" t="s">
        <v>24</v>
      </c>
    </row>
    <row r="13" spans="1:9" x14ac:dyDescent="0.2">
      <c r="A13" s="8">
        <v>46301</v>
      </c>
      <c r="B13" s="9">
        <v>0.69322916666666667</v>
      </c>
      <c r="C13" s="6">
        <v>7.3710940000000003</v>
      </c>
      <c r="D13" s="11">
        <v>780</v>
      </c>
      <c r="E13" s="11" t="s">
        <v>24</v>
      </c>
      <c r="F13" s="11" t="s">
        <v>24</v>
      </c>
      <c r="G13" s="11" t="s">
        <v>24</v>
      </c>
    </row>
    <row r="14" spans="1:9" x14ac:dyDescent="0.2">
      <c r="A14" s="8">
        <v>46301</v>
      </c>
      <c r="B14" s="9">
        <v>0.69324074074074071</v>
      </c>
      <c r="C14" s="6">
        <v>7.8710940000000003</v>
      </c>
      <c r="D14" s="11">
        <v>782</v>
      </c>
      <c r="E14" s="11" t="s">
        <v>24</v>
      </c>
      <c r="F14" s="11" t="s">
        <v>24</v>
      </c>
      <c r="G14" s="11" t="s">
        <v>24</v>
      </c>
    </row>
    <row r="15" spans="1:9" x14ac:dyDescent="0.2">
      <c r="A15" s="8">
        <v>46301</v>
      </c>
      <c r="B15" s="9">
        <v>0.69325231481481486</v>
      </c>
      <c r="C15" s="6">
        <v>8.8867189999999994</v>
      </c>
      <c r="D15" s="4">
        <v>781</v>
      </c>
      <c r="E15" s="4" t="s">
        <v>27</v>
      </c>
      <c r="F15" s="4" t="s">
        <v>27</v>
      </c>
      <c r="G15" s="4">
        <v>-237</v>
      </c>
    </row>
    <row r="16" spans="1:9" x14ac:dyDescent="0.2">
      <c r="A16" s="8">
        <v>46301</v>
      </c>
      <c r="B16" s="9">
        <v>0.69325231481481486</v>
      </c>
      <c r="C16" s="6">
        <v>9.4179689999999994</v>
      </c>
      <c r="D16" s="4">
        <v>781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46301</v>
      </c>
      <c r="B17" s="9">
        <v>0.6932638888888889</v>
      </c>
      <c r="C17" s="6">
        <v>10.44922</v>
      </c>
      <c r="D17" s="4">
        <v>784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46301</v>
      </c>
      <c r="B18" s="9">
        <v>0.69327546296296294</v>
      </c>
      <c r="C18" s="6">
        <v>10.98047</v>
      </c>
      <c r="D18" s="4">
        <v>782</v>
      </c>
      <c r="E18" s="4" t="s">
        <v>27</v>
      </c>
      <c r="F18" s="4" t="s">
        <v>27</v>
      </c>
      <c r="G18" s="4">
        <v>3088</v>
      </c>
    </row>
    <row r="19" spans="1:7" x14ac:dyDescent="0.2">
      <c r="A19" s="8">
        <v>46301</v>
      </c>
      <c r="B19" s="9">
        <v>0.69328703703703709</v>
      </c>
      <c r="C19" s="6">
        <v>12.01172</v>
      </c>
      <c r="D19" s="4">
        <v>781</v>
      </c>
      <c r="E19" s="4" t="s">
        <v>27</v>
      </c>
      <c r="F19" s="4" t="s">
        <v>27</v>
      </c>
      <c r="G19" s="4">
        <v>-237</v>
      </c>
    </row>
    <row r="20" spans="1:7" x14ac:dyDescent="0.2">
      <c r="A20" s="8">
        <v>46301</v>
      </c>
      <c r="B20" s="9">
        <v>0.69329861111111113</v>
      </c>
      <c r="C20" s="6">
        <v>12.54297</v>
      </c>
      <c r="D20" s="4">
        <v>781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46301</v>
      </c>
      <c r="B21" s="9">
        <v>0.69329861111111113</v>
      </c>
      <c r="C21" s="6">
        <v>13.085940000000001</v>
      </c>
      <c r="D21" s="4">
        <v>782</v>
      </c>
      <c r="E21" s="4" t="s">
        <v>35</v>
      </c>
      <c r="F21" s="10">
        <v>0.61</v>
      </c>
      <c r="G21" s="4" t="s">
        <v>26</v>
      </c>
    </row>
    <row r="22" spans="1:7" x14ac:dyDescent="0.2">
      <c r="A22" s="8"/>
      <c r="B22" s="9"/>
    </row>
  </sheetData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D3C06-0E8F-4295-83BC-D57137A94A92}">
  <sheetPr codeName="工作表6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17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46301</v>
      </c>
      <c r="B2" s="9">
        <v>0.70739583333333333</v>
      </c>
      <c r="C2" s="6">
        <v>1.796875</v>
      </c>
      <c r="D2" s="11">
        <v>793</v>
      </c>
      <c r="E2" s="11" t="s">
        <v>24</v>
      </c>
      <c r="F2" s="11" t="s">
        <v>24</v>
      </c>
      <c r="G2" s="11" t="s">
        <v>24</v>
      </c>
      <c r="H2" s="12"/>
      <c r="I2" s="12">
        <f>AVERAGE(D2:D21)</f>
        <v>781.35</v>
      </c>
    </row>
    <row r="3" spans="1:9" x14ac:dyDescent="0.2">
      <c r="A3" s="8">
        <v>46301</v>
      </c>
      <c r="B3" s="9">
        <v>0.70739583333333333</v>
      </c>
      <c r="C3" s="6">
        <v>2.28125</v>
      </c>
      <c r="D3" s="11">
        <v>790</v>
      </c>
      <c r="E3" s="11" t="s">
        <v>24</v>
      </c>
      <c r="F3" s="11" t="s">
        <v>24</v>
      </c>
      <c r="G3" s="11" t="s">
        <v>24</v>
      </c>
      <c r="H3" s="12"/>
      <c r="I3" s="12">
        <f>91*(1023-I2)/I2</f>
        <v>28.143789594931846</v>
      </c>
    </row>
    <row r="4" spans="1:9" x14ac:dyDescent="0.2">
      <c r="A4" s="8">
        <v>46301</v>
      </c>
      <c r="B4" s="9">
        <v>0.70740740740740737</v>
      </c>
      <c r="C4" s="6">
        <v>2.78125</v>
      </c>
      <c r="D4" s="11">
        <v>788</v>
      </c>
      <c r="E4" s="11" t="s">
        <v>24</v>
      </c>
      <c r="F4" s="11" t="s">
        <v>24</v>
      </c>
      <c r="G4" s="11" t="s">
        <v>24</v>
      </c>
      <c r="H4" s="12"/>
      <c r="I4" s="12"/>
    </row>
    <row r="5" spans="1:9" x14ac:dyDescent="0.2">
      <c r="A5" s="8">
        <v>46301</v>
      </c>
      <c r="B5" s="9">
        <v>0.70740740740740737</v>
      </c>
      <c r="C5" s="6">
        <v>3.3046880000000001</v>
      </c>
      <c r="D5" s="11">
        <v>788</v>
      </c>
      <c r="E5" s="11" t="s">
        <v>35</v>
      </c>
      <c r="F5" s="10">
        <v>0.61</v>
      </c>
      <c r="G5" s="11" t="s">
        <v>26</v>
      </c>
      <c r="H5" s="12"/>
      <c r="I5" s="12"/>
    </row>
    <row r="6" spans="1:9" x14ac:dyDescent="0.2">
      <c r="A6" s="8">
        <v>46301</v>
      </c>
      <c r="B6" s="9">
        <v>0.70741898148148152</v>
      </c>
      <c r="C6" s="6">
        <v>3.8164060000000002</v>
      </c>
      <c r="D6" s="11">
        <v>787</v>
      </c>
      <c r="E6" s="11" t="s">
        <v>24</v>
      </c>
      <c r="F6" s="11" t="s">
        <v>24</v>
      </c>
      <c r="G6" s="11" t="s">
        <v>24</v>
      </c>
      <c r="H6" s="12"/>
      <c r="I6" s="12"/>
    </row>
    <row r="7" spans="1:9" x14ac:dyDescent="0.2">
      <c r="A7" s="8">
        <v>46301</v>
      </c>
      <c r="B7" s="9">
        <v>0.70741898148148152</v>
      </c>
      <c r="C7" s="6">
        <v>4.3164059999999997</v>
      </c>
      <c r="D7" s="11">
        <v>785</v>
      </c>
      <c r="E7" s="11" t="s">
        <v>24</v>
      </c>
      <c r="F7" s="11" t="s">
        <v>24</v>
      </c>
      <c r="G7" s="11" t="s">
        <v>24</v>
      </c>
      <c r="H7" s="12"/>
      <c r="I7" s="12"/>
    </row>
    <row r="8" spans="1:9" x14ac:dyDescent="0.2">
      <c r="A8" s="8">
        <v>46301</v>
      </c>
      <c r="B8" s="9">
        <v>0.70743055555555556</v>
      </c>
      <c r="C8" s="6">
        <v>4.8164059999999997</v>
      </c>
      <c r="D8" s="11">
        <v>783</v>
      </c>
      <c r="E8" s="11" t="s">
        <v>24</v>
      </c>
      <c r="F8" s="11" t="s">
        <v>24</v>
      </c>
      <c r="G8" s="11" t="s">
        <v>24</v>
      </c>
      <c r="H8" s="12"/>
      <c r="I8" s="12"/>
    </row>
    <row r="9" spans="1:9" x14ac:dyDescent="0.2">
      <c r="A9" s="8">
        <v>46301</v>
      </c>
      <c r="B9" s="9">
        <v>0.70743055555555556</v>
      </c>
      <c r="C9" s="6">
        <v>5.3164059999999997</v>
      </c>
      <c r="D9" s="11">
        <v>782</v>
      </c>
      <c r="E9" s="11" t="s">
        <v>24</v>
      </c>
      <c r="F9" s="11" t="s">
        <v>24</v>
      </c>
      <c r="G9" s="11" t="s">
        <v>24</v>
      </c>
      <c r="H9" s="12"/>
      <c r="I9" s="12"/>
    </row>
    <row r="10" spans="1:9" x14ac:dyDescent="0.2">
      <c r="A10" s="8">
        <v>46301</v>
      </c>
      <c r="B10" s="9">
        <v>0.7074421296296296</v>
      </c>
      <c r="C10" s="6">
        <v>5.8359379999999996</v>
      </c>
      <c r="D10" s="11">
        <v>782</v>
      </c>
      <c r="E10" s="11" t="s">
        <v>35</v>
      </c>
      <c r="F10" s="10">
        <v>0.61</v>
      </c>
      <c r="G10" s="11" t="s">
        <v>26</v>
      </c>
      <c r="H10" s="12"/>
      <c r="I10" s="12"/>
    </row>
    <row r="11" spans="1:9" x14ac:dyDescent="0.2">
      <c r="A11" s="8">
        <v>46301</v>
      </c>
      <c r="B11" s="9">
        <v>0.7074421296296296</v>
      </c>
      <c r="C11" s="6">
        <v>6.3671879999999996</v>
      </c>
      <c r="D11" s="11">
        <v>779</v>
      </c>
      <c r="E11" s="11" t="s">
        <v>24</v>
      </c>
      <c r="F11" s="11" t="s">
        <v>24</v>
      </c>
      <c r="G11" s="11" t="s">
        <v>24</v>
      </c>
      <c r="H11" s="12"/>
      <c r="I11" s="12"/>
    </row>
    <row r="12" spans="1:9" x14ac:dyDescent="0.2">
      <c r="A12" s="8">
        <v>46301</v>
      </c>
      <c r="B12" s="9">
        <v>0.70745370370370375</v>
      </c>
      <c r="C12" s="6">
        <v>6.8671879999999996</v>
      </c>
      <c r="D12" s="11">
        <v>780</v>
      </c>
      <c r="E12" s="11" t="s">
        <v>24</v>
      </c>
      <c r="F12" s="11" t="s">
        <v>24</v>
      </c>
      <c r="G12" s="11" t="s">
        <v>24</v>
      </c>
      <c r="H12" s="12"/>
      <c r="I12" s="12"/>
    </row>
    <row r="13" spans="1:9" x14ac:dyDescent="0.2">
      <c r="A13" s="8">
        <v>46301</v>
      </c>
      <c r="B13" s="9">
        <v>0.70745370370370375</v>
      </c>
      <c r="C13" s="6">
        <v>7.3632809999999997</v>
      </c>
      <c r="D13" s="11">
        <v>778</v>
      </c>
      <c r="E13" s="11" t="s">
        <v>24</v>
      </c>
      <c r="F13" s="11" t="s">
        <v>24</v>
      </c>
      <c r="G13" s="11" t="s">
        <v>24</v>
      </c>
      <c r="H13" s="12"/>
      <c r="I13" s="12"/>
    </row>
    <row r="14" spans="1:9" x14ac:dyDescent="0.2">
      <c r="A14" s="8">
        <v>46301</v>
      </c>
      <c r="B14" s="9">
        <v>0.70746527777777779</v>
      </c>
      <c r="C14" s="6">
        <v>7.8632809999999997</v>
      </c>
      <c r="D14" s="11">
        <v>780</v>
      </c>
      <c r="E14" s="11" t="s">
        <v>24</v>
      </c>
      <c r="F14" s="11" t="s">
        <v>24</v>
      </c>
      <c r="G14" s="11" t="s">
        <v>24</v>
      </c>
      <c r="H14" s="12"/>
      <c r="I14" s="12"/>
    </row>
    <row r="15" spans="1:9" x14ac:dyDescent="0.2">
      <c r="A15" s="8">
        <v>46301</v>
      </c>
      <c r="B15" s="9">
        <v>0.70747685185185183</v>
      </c>
      <c r="C15" s="6">
        <v>8.8789060000000006</v>
      </c>
      <c r="D15" s="11">
        <v>779</v>
      </c>
      <c r="E15" s="11" t="s">
        <v>27</v>
      </c>
      <c r="F15" s="11" t="s">
        <v>27</v>
      </c>
      <c r="G15" s="11">
        <v>-237</v>
      </c>
      <c r="H15" s="12"/>
      <c r="I15" s="12"/>
    </row>
    <row r="16" spans="1:9" x14ac:dyDescent="0.2">
      <c r="A16" s="8">
        <v>46301</v>
      </c>
      <c r="B16" s="9">
        <v>0.70747685185185183</v>
      </c>
      <c r="C16" s="6">
        <v>9.4101560000000006</v>
      </c>
      <c r="D16" s="11">
        <v>777</v>
      </c>
      <c r="E16" s="11" t="s">
        <v>27</v>
      </c>
      <c r="F16" s="11" t="s">
        <v>27</v>
      </c>
      <c r="G16" s="11">
        <v>4112</v>
      </c>
      <c r="H16" s="12"/>
      <c r="I16" s="12"/>
    </row>
    <row r="17" spans="1:9" x14ac:dyDescent="0.2">
      <c r="A17" s="8">
        <v>46301</v>
      </c>
      <c r="B17" s="9">
        <v>0.70748842592592598</v>
      </c>
      <c r="C17" s="6">
        <v>10.441409999999999</v>
      </c>
      <c r="D17" s="11">
        <v>776</v>
      </c>
      <c r="E17" s="11" t="s">
        <v>27</v>
      </c>
      <c r="F17" s="11" t="s">
        <v>27</v>
      </c>
      <c r="G17" s="11">
        <v>-237</v>
      </c>
      <c r="H17" s="12"/>
      <c r="I17" s="12"/>
    </row>
    <row r="18" spans="1:9" x14ac:dyDescent="0.2">
      <c r="A18" s="8">
        <v>46301</v>
      </c>
      <c r="B18" s="9">
        <v>0.70750000000000002</v>
      </c>
      <c r="C18" s="6">
        <v>10.972659999999999</v>
      </c>
      <c r="D18" s="11">
        <v>775</v>
      </c>
      <c r="E18" s="11" t="s">
        <v>27</v>
      </c>
      <c r="F18" s="11" t="s">
        <v>27</v>
      </c>
      <c r="G18" s="11">
        <v>3088</v>
      </c>
      <c r="H18" s="12"/>
      <c r="I18" s="12"/>
    </row>
    <row r="19" spans="1:9" x14ac:dyDescent="0.2">
      <c r="A19" s="8">
        <v>46301</v>
      </c>
      <c r="B19" s="9">
        <v>0.70750000000000002</v>
      </c>
      <c r="C19" s="6">
        <v>11.503909999999999</v>
      </c>
      <c r="D19" s="11">
        <v>774</v>
      </c>
      <c r="E19" s="11" t="s">
        <v>27</v>
      </c>
      <c r="F19" s="11" t="s">
        <v>27</v>
      </c>
      <c r="G19" s="11">
        <v>21</v>
      </c>
      <c r="H19" s="12"/>
      <c r="I19" s="12"/>
    </row>
    <row r="20" spans="1:9" x14ac:dyDescent="0.2">
      <c r="A20" s="8">
        <v>46301</v>
      </c>
      <c r="B20" s="9">
        <v>0.70751157407407406</v>
      </c>
      <c r="C20" s="6">
        <v>12.035159999999999</v>
      </c>
      <c r="D20" s="11">
        <v>775</v>
      </c>
      <c r="E20" s="11" t="s">
        <v>27</v>
      </c>
      <c r="F20" s="11" t="s">
        <v>27</v>
      </c>
      <c r="G20" s="11">
        <v>4112</v>
      </c>
      <c r="H20" s="12"/>
      <c r="I20" s="12"/>
    </row>
    <row r="21" spans="1:9" x14ac:dyDescent="0.2">
      <c r="A21" s="8">
        <v>46301</v>
      </c>
      <c r="B21" s="9">
        <v>0.70751157407407406</v>
      </c>
      <c r="C21" s="6">
        <v>12.55078</v>
      </c>
      <c r="D21" s="11">
        <v>776</v>
      </c>
      <c r="E21" s="11" t="s">
        <v>27</v>
      </c>
      <c r="F21" s="11" t="s">
        <v>27</v>
      </c>
      <c r="G21" s="11">
        <v>3088</v>
      </c>
      <c r="H21" s="12"/>
      <c r="I21" s="12"/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A3E19-AECE-4D85-B6E0-154ECF935065}">
  <sheetPr codeName="工作表7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46301</v>
      </c>
      <c r="B2" s="9">
        <v>0.70853009259259259</v>
      </c>
      <c r="C2" s="6">
        <v>1.792969</v>
      </c>
      <c r="D2" s="11">
        <v>779</v>
      </c>
      <c r="E2" s="11" t="s">
        <v>24</v>
      </c>
      <c r="F2" s="11" t="s">
        <v>24</v>
      </c>
      <c r="G2" s="11" t="s">
        <v>24</v>
      </c>
      <c r="H2" s="12"/>
      <c r="I2" s="12">
        <f>AVERAGE(D2:D21)</f>
        <v>778.55</v>
      </c>
    </row>
    <row r="3" spans="1:9" x14ac:dyDescent="0.2">
      <c r="A3" s="8">
        <v>46301</v>
      </c>
      <c r="B3" s="9">
        <v>0.70854166666666663</v>
      </c>
      <c r="C3" s="6">
        <v>2.2773439999999998</v>
      </c>
      <c r="D3" s="11">
        <v>779</v>
      </c>
      <c r="E3" s="11" t="s">
        <v>24</v>
      </c>
      <c r="F3" s="11" t="s">
        <v>24</v>
      </c>
      <c r="G3" s="11" t="s">
        <v>24</v>
      </c>
      <c r="H3" s="12"/>
      <c r="I3" s="12">
        <f>91*(1023-I2)/I2</f>
        <v>28.572281805921271</v>
      </c>
    </row>
    <row r="4" spans="1:9" x14ac:dyDescent="0.2">
      <c r="A4" s="8">
        <v>46301</v>
      </c>
      <c r="B4" s="9">
        <v>0.70854166666666663</v>
      </c>
      <c r="C4" s="6">
        <v>2.7773439999999998</v>
      </c>
      <c r="D4" s="11">
        <v>777</v>
      </c>
      <c r="E4" s="11" t="s">
        <v>24</v>
      </c>
      <c r="F4" s="11" t="s">
        <v>24</v>
      </c>
      <c r="G4" s="11" t="s">
        <v>24</v>
      </c>
      <c r="H4" s="12"/>
      <c r="I4" s="12"/>
    </row>
    <row r="5" spans="1:9" x14ac:dyDescent="0.2">
      <c r="A5" s="8">
        <v>46301</v>
      </c>
      <c r="B5" s="9">
        <v>0.70855324074074078</v>
      </c>
      <c r="C5" s="6">
        <v>3.2929689999999998</v>
      </c>
      <c r="D5" s="11">
        <v>779</v>
      </c>
      <c r="E5" s="11" t="s">
        <v>35</v>
      </c>
      <c r="F5" s="10">
        <v>0.61</v>
      </c>
      <c r="G5" s="11" t="s">
        <v>26</v>
      </c>
      <c r="H5" s="12"/>
      <c r="I5" s="12"/>
    </row>
    <row r="6" spans="1:9" x14ac:dyDescent="0.2">
      <c r="A6" s="8">
        <v>46301</v>
      </c>
      <c r="B6" s="9">
        <v>0.70855324074074078</v>
      </c>
      <c r="C6" s="6">
        <v>3.8085939999999998</v>
      </c>
      <c r="D6" s="11">
        <v>778</v>
      </c>
      <c r="E6" s="11" t="s">
        <v>24</v>
      </c>
      <c r="F6" s="11" t="s">
        <v>24</v>
      </c>
      <c r="G6" s="11" t="s">
        <v>24</v>
      </c>
      <c r="H6" s="12"/>
      <c r="I6" s="12"/>
    </row>
    <row r="7" spans="1:9" x14ac:dyDescent="0.2">
      <c r="A7" s="8">
        <v>46301</v>
      </c>
      <c r="B7" s="9">
        <v>0.70856481481481481</v>
      </c>
      <c r="C7" s="6">
        <v>4.3242190000000003</v>
      </c>
      <c r="D7" s="11">
        <v>779</v>
      </c>
      <c r="E7" s="11" t="s">
        <v>24</v>
      </c>
      <c r="F7" s="11" t="s">
        <v>24</v>
      </c>
      <c r="G7" s="11" t="s">
        <v>24</v>
      </c>
      <c r="H7" s="12"/>
      <c r="I7" s="12"/>
    </row>
    <row r="8" spans="1:9" x14ac:dyDescent="0.2">
      <c r="A8" s="8">
        <v>46301</v>
      </c>
      <c r="B8" s="9">
        <v>0.70856481481481481</v>
      </c>
      <c r="C8" s="6">
        <v>4.8242190000000003</v>
      </c>
      <c r="D8" s="11">
        <v>776</v>
      </c>
      <c r="E8" s="11" t="s">
        <v>24</v>
      </c>
      <c r="F8" s="11" t="s">
        <v>24</v>
      </c>
      <c r="G8" s="11" t="s">
        <v>24</v>
      </c>
      <c r="H8" s="12"/>
      <c r="I8" s="12"/>
    </row>
    <row r="9" spans="1:9" x14ac:dyDescent="0.2">
      <c r="A9" s="8">
        <v>46301</v>
      </c>
      <c r="B9" s="9">
        <v>0.70857638888888885</v>
      </c>
      <c r="C9" s="6">
        <v>5.3242190000000003</v>
      </c>
      <c r="D9" s="11">
        <v>777</v>
      </c>
      <c r="E9" s="11" t="s">
        <v>24</v>
      </c>
      <c r="F9" s="11" t="s">
        <v>24</v>
      </c>
      <c r="G9" s="11" t="s">
        <v>24</v>
      </c>
      <c r="H9" s="12"/>
      <c r="I9" s="12"/>
    </row>
    <row r="10" spans="1:9" x14ac:dyDescent="0.2">
      <c r="A10" s="8">
        <v>46301</v>
      </c>
      <c r="B10" s="9">
        <v>0.70857638888888885</v>
      </c>
      <c r="C10" s="6">
        <v>5.8398440000000003</v>
      </c>
      <c r="D10" s="11">
        <v>779</v>
      </c>
      <c r="E10" s="11" t="s">
        <v>27</v>
      </c>
      <c r="F10" s="11" t="s">
        <v>27</v>
      </c>
      <c r="G10" s="11">
        <v>21</v>
      </c>
      <c r="H10" s="12"/>
      <c r="I10" s="12"/>
    </row>
    <row r="11" spans="1:9" x14ac:dyDescent="0.2">
      <c r="A11" s="8">
        <v>46301</v>
      </c>
      <c r="B11" s="9">
        <v>0.708587962962963</v>
      </c>
      <c r="C11" s="6">
        <v>6.3710940000000003</v>
      </c>
      <c r="D11" s="11">
        <v>779</v>
      </c>
      <c r="E11" s="11" t="s">
        <v>27</v>
      </c>
      <c r="F11" s="11" t="s">
        <v>27</v>
      </c>
      <c r="G11" s="11">
        <v>3088</v>
      </c>
      <c r="H11" s="12"/>
      <c r="I11" s="12"/>
    </row>
    <row r="12" spans="1:9" x14ac:dyDescent="0.2">
      <c r="A12" s="8">
        <v>46301</v>
      </c>
      <c r="B12" s="9">
        <v>0.70859953703703704</v>
      </c>
      <c r="C12" s="6">
        <v>6.8867190000000003</v>
      </c>
      <c r="D12" s="11">
        <v>778</v>
      </c>
      <c r="E12" s="11" t="s">
        <v>27</v>
      </c>
      <c r="F12" s="11" t="s">
        <v>27</v>
      </c>
      <c r="G12" s="11">
        <v>4112</v>
      </c>
      <c r="H12" s="12"/>
      <c r="I12" s="12"/>
    </row>
    <row r="13" spans="1:9" x14ac:dyDescent="0.2">
      <c r="A13" s="8">
        <v>46301</v>
      </c>
      <c r="B13" s="9">
        <v>0.70859953703703704</v>
      </c>
      <c r="C13" s="6">
        <v>7.4179690000000003</v>
      </c>
      <c r="D13" s="11">
        <v>777</v>
      </c>
      <c r="E13" s="11" t="s">
        <v>35</v>
      </c>
      <c r="F13" s="10">
        <v>0.61</v>
      </c>
      <c r="G13" s="11" t="s">
        <v>26</v>
      </c>
      <c r="H13" s="12"/>
      <c r="I13" s="12"/>
    </row>
    <row r="14" spans="1:9" x14ac:dyDescent="0.2">
      <c r="A14" s="8">
        <v>46301</v>
      </c>
      <c r="B14" s="9">
        <v>0.70861111111111108</v>
      </c>
      <c r="C14" s="6">
        <v>7.9335940000000003</v>
      </c>
      <c r="D14" s="11">
        <v>778</v>
      </c>
      <c r="E14" s="11" t="s">
        <v>24</v>
      </c>
      <c r="F14" s="11" t="s">
        <v>24</v>
      </c>
      <c r="G14" s="11" t="s">
        <v>24</v>
      </c>
      <c r="H14" s="12"/>
      <c r="I14" s="12"/>
    </row>
    <row r="15" spans="1:9" x14ac:dyDescent="0.2">
      <c r="A15" s="8">
        <v>46301</v>
      </c>
      <c r="B15" s="9">
        <v>0.70861111111111108</v>
      </c>
      <c r="C15" s="6">
        <v>8.4492189999999994</v>
      </c>
      <c r="D15" s="11">
        <v>780</v>
      </c>
      <c r="E15" s="11" t="s">
        <v>24</v>
      </c>
      <c r="F15" s="11" t="s">
        <v>24</v>
      </c>
      <c r="G15" s="11" t="s">
        <v>24</v>
      </c>
      <c r="H15" s="12"/>
      <c r="I15" s="12"/>
    </row>
    <row r="16" spans="1:9" x14ac:dyDescent="0.2">
      <c r="A16" s="8">
        <v>46301</v>
      </c>
      <c r="B16" s="9">
        <v>0.70862268518518523</v>
      </c>
      <c r="C16" s="6">
        <v>8.9492189999999994</v>
      </c>
      <c r="D16" s="11">
        <v>778</v>
      </c>
      <c r="E16" s="11" t="s">
        <v>24</v>
      </c>
      <c r="F16" s="11" t="s">
        <v>24</v>
      </c>
      <c r="G16" s="11" t="s">
        <v>24</v>
      </c>
      <c r="H16" s="12"/>
      <c r="I16" s="12"/>
    </row>
    <row r="17" spans="1:9" x14ac:dyDescent="0.2">
      <c r="A17" s="8">
        <v>46301</v>
      </c>
      <c r="B17" s="9">
        <v>0.70862268518518523</v>
      </c>
      <c r="C17" s="6">
        <v>9.4492189999999994</v>
      </c>
      <c r="D17" s="11">
        <v>779</v>
      </c>
      <c r="E17" s="11" t="s">
        <v>24</v>
      </c>
      <c r="F17" s="11" t="s">
        <v>24</v>
      </c>
      <c r="G17" s="11" t="s">
        <v>24</v>
      </c>
      <c r="H17" s="12"/>
      <c r="I17" s="12"/>
    </row>
    <row r="18" spans="1:9" x14ac:dyDescent="0.2">
      <c r="A18" s="8">
        <v>46301</v>
      </c>
      <c r="B18" s="9">
        <v>0.70863425925925927</v>
      </c>
      <c r="C18" s="6">
        <v>9.9648439999999994</v>
      </c>
      <c r="D18" s="11">
        <v>781</v>
      </c>
      <c r="E18" s="11" t="s">
        <v>35</v>
      </c>
      <c r="F18" s="10">
        <v>0.61</v>
      </c>
      <c r="G18" s="11" t="s">
        <v>26</v>
      </c>
      <c r="H18" s="12"/>
      <c r="I18" s="12"/>
    </row>
    <row r="19" spans="1:9" x14ac:dyDescent="0.2">
      <c r="A19" s="8">
        <v>46301</v>
      </c>
      <c r="B19" s="9">
        <v>0.70863425925925927</v>
      </c>
      <c r="C19" s="6">
        <v>10.48047</v>
      </c>
      <c r="D19" s="11">
        <v>779</v>
      </c>
      <c r="E19" s="11" t="s">
        <v>24</v>
      </c>
      <c r="F19" s="11" t="s">
        <v>24</v>
      </c>
      <c r="G19" s="11" t="s">
        <v>24</v>
      </c>
      <c r="H19" s="12"/>
      <c r="I19" s="12"/>
    </row>
    <row r="20" spans="1:9" x14ac:dyDescent="0.2">
      <c r="A20" s="8">
        <v>46301</v>
      </c>
      <c r="B20" s="9">
        <v>0.70864583333333331</v>
      </c>
      <c r="C20" s="6">
        <v>10.996090000000001</v>
      </c>
      <c r="D20" s="11">
        <v>779</v>
      </c>
      <c r="E20" s="11" t="s">
        <v>24</v>
      </c>
      <c r="F20" s="11" t="s">
        <v>24</v>
      </c>
      <c r="G20" s="11" t="s">
        <v>24</v>
      </c>
      <c r="H20" s="12"/>
      <c r="I20" s="12"/>
    </row>
    <row r="21" spans="1:9" x14ac:dyDescent="0.2">
      <c r="A21" s="8">
        <v>46301</v>
      </c>
      <c r="B21" s="9">
        <v>0.70864583333333331</v>
      </c>
      <c r="C21" s="6">
        <v>11.496090000000001</v>
      </c>
      <c r="D21" s="4">
        <v>780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B2DE8-1882-4158-B624-B4FB11B64B93}">
  <sheetPr codeName="工作表8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/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46301</v>
      </c>
      <c r="B2" s="9">
        <v>0.69598379629629625</v>
      </c>
      <c r="C2" s="6">
        <v>1.808594</v>
      </c>
      <c r="D2" s="4">
        <v>820</v>
      </c>
      <c r="E2" s="4" t="s">
        <v>24</v>
      </c>
      <c r="F2" s="4" t="s">
        <v>24</v>
      </c>
      <c r="G2" s="4" t="s">
        <v>24</v>
      </c>
      <c r="I2">
        <f>AVERAGE(D2:D21)</f>
        <v>819.2</v>
      </c>
    </row>
    <row r="3" spans="1:9" x14ac:dyDescent="0.2">
      <c r="A3" s="8">
        <v>46301</v>
      </c>
      <c r="B3" s="9">
        <v>0.69598379629629625</v>
      </c>
      <c r="C3" s="6">
        <v>2.28125</v>
      </c>
      <c r="D3" s="4">
        <v>820</v>
      </c>
      <c r="E3" s="4" t="s">
        <v>24</v>
      </c>
      <c r="F3" s="4" t="s">
        <v>24</v>
      </c>
      <c r="G3" s="4" t="s">
        <v>24</v>
      </c>
      <c r="I3">
        <f>91*(1023-I2)/I2</f>
        <v>22.638916015624993</v>
      </c>
    </row>
    <row r="4" spans="1:9" x14ac:dyDescent="0.2">
      <c r="A4" s="8">
        <v>46301</v>
      </c>
      <c r="B4" s="9">
        <v>0.6959953703703704</v>
      </c>
      <c r="C4" s="6">
        <v>2.78125</v>
      </c>
      <c r="D4" s="4">
        <v>818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46301</v>
      </c>
      <c r="B5" s="9">
        <v>0.6959953703703704</v>
      </c>
      <c r="C5" s="6">
        <v>3.2929689999999998</v>
      </c>
      <c r="D5" s="4">
        <v>818</v>
      </c>
      <c r="E5" s="4" t="s">
        <v>35</v>
      </c>
      <c r="F5" s="10">
        <v>0.6</v>
      </c>
      <c r="G5" s="4" t="s">
        <v>26</v>
      </c>
    </row>
    <row r="6" spans="1:9" x14ac:dyDescent="0.2">
      <c r="A6" s="8">
        <v>46301</v>
      </c>
      <c r="B6" s="9">
        <v>0.69600694444444444</v>
      </c>
      <c r="C6" s="6">
        <v>3.828125</v>
      </c>
      <c r="D6" s="4">
        <v>819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46301</v>
      </c>
      <c r="B7" s="9">
        <v>0.69600694444444444</v>
      </c>
      <c r="C7" s="6">
        <v>4.3242190000000003</v>
      </c>
      <c r="D7" s="4">
        <v>818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46301</v>
      </c>
      <c r="B8" s="9">
        <v>0.69601851851851848</v>
      </c>
      <c r="C8" s="6">
        <v>4.8242190000000003</v>
      </c>
      <c r="D8" s="4">
        <v>818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46301</v>
      </c>
      <c r="B9" s="9">
        <v>0.69601851851851848</v>
      </c>
      <c r="C9" s="6">
        <v>5.3242190000000003</v>
      </c>
      <c r="D9" s="4">
        <v>820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46301</v>
      </c>
      <c r="B10" s="9">
        <v>0.69603009259259263</v>
      </c>
      <c r="C10" s="6">
        <v>5.8398440000000003</v>
      </c>
      <c r="D10" s="4">
        <v>821</v>
      </c>
      <c r="E10" s="4" t="s">
        <v>35</v>
      </c>
      <c r="F10" s="10">
        <v>0.6</v>
      </c>
      <c r="G10" s="4" t="s">
        <v>26</v>
      </c>
    </row>
    <row r="11" spans="1:9" x14ac:dyDescent="0.2">
      <c r="A11" s="8">
        <v>46301</v>
      </c>
      <c r="B11" s="9">
        <v>0.69603009259259263</v>
      </c>
      <c r="C11" s="6">
        <v>6.3554690000000003</v>
      </c>
      <c r="D11" s="4">
        <v>819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46301</v>
      </c>
      <c r="B12" s="9">
        <v>0.69604166666666667</v>
      </c>
      <c r="C12" s="6">
        <v>6.8710940000000003</v>
      </c>
      <c r="D12" s="4">
        <v>819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46301</v>
      </c>
      <c r="B13" s="9">
        <v>0.69604166666666667</v>
      </c>
      <c r="C13" s="6">
        <v>7.3710940000000003</v>
      </c>
      <c r="D13" s="4">
        <v>820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46301</v>
      </c>
      <c r="B14" s="9">
        <v>0.69605324074074071</v>
      </c>
      <c r="C14" s="6">
        <v>7.8710940000000003</v>
      </c>
      <c r="D14" s="4">
        <v>820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46301</v>
      </c>
      <c r="B15" s="9">
        <v>0.69606481481481486</v>
      </c>
      <c r="C15" s="6">
        <v>8.3945310000000006</v>
      </c>
      <c r="D15" s="4">
        <v>819</v>
      </c>
      <c r="E15" s="4" t="s">
        <v>35</v>
      </c>
      <c r="F15" s="10">
        <v>0.6</v>
      </c>
      <c r="G15" s="4" t="s">
        <v>26</v>
      </c>
    </row>
    <row r="16" spans="1:9" x14ac:dyDescent="0.2">
      <c r="A16" s="8">
        <v>46301</v>
      </c>
      <c r="B16" s="9">
        <v>0.69606481481481486</v>
      </c>
      <c r="C16" s="6">
        <v>8.9101560000000006</v>
      </c>
      <c r="D16" s="4">
        <v>819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46301</v>
      </c>
      <c r="B17" s="9">
        <v>0.6960763888888889</v>
      </c>
      <c r="C17" s="6">
        <v>9.4101560000000006</v>
      </c>
      <c r="D17" s="4">
        <v>820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46301</v>
      </c>
      <c r="B18" s="9">
        <v>0.6960763888888889</v>
      </c>
      <c r="C18" s="6">
        <v>9.9101560000000006</v>
      </c>
      <c r="D18" s="4">
        <v>819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46301</v>
      </c>
      <c r="B19" s="9">
        <v>0.69608796296296294</v>
      </c>
      <c r="C19" s="6">
        <v>10.410159999999999</v>
      </c>
      <c r="D19" s="4">
        <v>818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46301</v>
      </c>
      <c r="B20" s="9">
        <v>0.69608796296296294</v>
      </c>
      <c r="C20" s="6">
        <v>10.92578</v>
      </c>
      <c r="D20" s="4">
        <v>819</v>
      </c>
      <c r="E20" s="4" t="s">
        <v>35</v>
      </c>
      <c r="F20" s="10">
        <v>0.6</v>
      </c>
      <c r="G20" s="4" t="s">
        <v>26</v>
      </c>
    </row>
    <row r="21" spans="1:7" x14ac:dyDescent="0.2">
      <c r="A21" s="8">
        <v>46301</v>
      </c>
      <c r="B21" s="9">
        <v>0.69609953703703709</v>
      </c>
      <c r="C21" s="6">
        <v>11.45703</v>
      </c>
      <c r="D21" s="4">
        <v>820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08BECD-DB03-4220-89B4-67A1105A5C63}">
  <sheetPr codeName="工作表9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/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46301</v>
      </c>
      <c r="B2" s="9">
        <v>0.69731481481481483</v>
      </c>
      <c r="C2" s="6">
        <v>1.792969</v>
      </c>
      <c r="D2" s="4">
        <v>818</v>
      </c>
      <c r="E2" s="4" t="s">
        <v>24</v>
      </c>
      <c r="F2" s="4" t="s">
        <v>24</v>
      </c>
      <c r="G2" s="4" t="s">
        <v>24</v>
      </c>
      <c r="I2">
        <f>AVERAGE(D2:D21)</f>
        <v>817.45</v>
      </c>
    </row>
    <row r="3" spans="1:9" x14ac:dyDescent="0.2">
      <c r="A3" s="8">
        <v>46301</v>
      </c>
      <c r="B3" s="9">
        <v>0.69732638888888887</v>
      </c>
      <c r="C3" s="6">
        <v>2.28125</v>
      </c>
      <c r="D3" s="4">
        <v>819</v>
      </c>
      <c r="E3" s="4" t="s">
        <v>24</v>
      </c>
      <c r="F3" s="4" t="s">
        <v>24</v>
      </c>
      <c r="G3" s="4" t="s">
        <v>24</v>
      </c>
      <c r="I3">
        <f>91*(1023-I2)/I2</f>
        <v>22.882194629640949</v>
      </c>
    </row>
    <row r="4" spans="1:9" x14ac:dyDescent="0.2">
      <c r="A4" s="8">
        <v>46301</v>
      </c>
      <c r="B4" s="9">
        <v>0.69732638888888887</v>
      </c>
      <c r="C4" s="6">
        <v>2.78125</v>
      </c>
      <c r="D4" s="4">
        <v>817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46301</v>
      </c>
      <c r="B5" s="9">
        <v>0.69733796296296291</v>
      </c>
      <c r="C5" s="6">
        <v>3.2929689999999998</v>
      </c>
      <c r="D5" s="4">
        <v>817</v>
      </c>
      <c r="E5" s="4" t="s">
        <v>35</v>
      </c>
      <c r="F5" s="10">
        <v>0.6</v>
      </c>
      <c r="G5" s="4" t="s">
        <v>26</v>
      </c>
    </row>
    <row r="6" spans="1:9" x14ac:dyDescent="0.2">
      <c r="A6" s="8">
        <v>46301</v>
      </c>
      <c r="B6" s="9">
        <v>0.69733796296296291</v>
      </c>
      <c r="C6" s="6">
        <v>3.8125</v>
      </c>
      <c r="D6" s="4">
        <v>816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46301</v>
      </c>
      <c r="B7" s="9">
        <v>0.69734953703703706</v>
      </c>
      <c r="C7" s="6">
        <v>4.3085940000000003</v>
      </c>
      <c r="D7" s="4">
        <v>816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46301</v>
      </c>
      <c r="B8" s="9">
        <v>0.69734953703703706</v>
      </c>
      <c r="C8" s="6">
        <v>4.8242190000000003</v>
      </c>
      <c r="D8" s="4">
        <v>818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46301</v>
      </c>
      <c r="B9" s="9">
        <v>0.6973611111111111</v>
      </c>
      <c r="C9" s="6">
        <v>5.3242190000000003</v>
      </c>
      <c r="D9" s="4">
        <v>817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46301</v>
      </c>
      <c r="B10" s="9">
        <v>0.6973611111111111</v>
      </c>
      <c r="C10" s="6">
        <v>5.8398440000000003</v>
      </c>
      <c r="D10" s="4">
        <v>817</v>
      </c>
      <c r="E10" s="4" t="s">
        <v>35</v>
      </c>
      <c r="F10" s="10">
        <v>0.6</v>
      </c>
      <c r="G10" s="4" t="s">
        <v>26</v>
      </c>
    </row>
    <row r="11" spans="1:9" x14ac:dyDescent="0.2">
      <c r="A11" s="8">
        <v>46301</v>
      </c>
      <c r="B11" s="9">
        <v>0.69737268518518514</v>
      </c>
      <c r="C11" s="6">
        <v>6.3554690000000003</v>
      </c>
      <c r="D11" s="4">
        <v>817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46301</v>
      </c>
      <c r="B12" s="9">
        <v>0.69737268518518514</v>
      </c>
      <c r="C12" s="6">
        <v>6.8554690000000003</v>
      </c>
      <c r="D12" s="4">
        <v>818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46301</v>
      </c>
      <c r="B13" s="9">
        <v>0.69738425925925929</v>
      </c>
      <c r="C13" s="6">
        <v>7.3554690000000003</v>
      </c>
      <c r="D13" s="4">
        <v>819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46301</v>
      </c>
      <c r="B14" s="9">
        <v>0.69738425925925929</v>
      </c>
      <c r="C14" s="6">
        <v>7.8710940000000003</v>
      </c>
      <c r="D14" s="4">
        <v>818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46301</v>
      </c>
      <c r="B15" s="9">
        <v>0.69739583333333333</v>
      </c>
      <c r="C15" s="6">
        <v>8.8867189999999994</v>
      </c>
      <c r="D15" s="4">
        <v>817</v>
      </c>
      <c r="E15" s="4" t="s">
        <v>27</v>
      </c>
      <c r="F15" s="4" t="s">
        <v>27</v>
      </c>
      <c r="G15" s="4">
        <v>-237</v>
      </c>
    </row>
    <row r="16" spans="1:9" x14ac:dyDescent="0.2">
      <c r="A16" s="8">
        <v>46301</v>
      </c>
      <c r="B16" s="9">
        <v>0.69740740740740736</v>
      </c>
      <c r="C16" s="6">
        <v>9.4023439999999994</v>
      </c>
      <c r="D16" s="4">
        <v>817</v>
      </c>
      <c r="E16" s="4" t="s">
        <v>27</v>
      </c>
      <c r="F16" s="4" t="s">
        <v>27</v>
      </c>
      <c r="G16" s="4">
        <v>3088</v>
      </c>
    </row>
    <row r="17" spans="1:7" x14ac:dyDescent="0.2">
      <c r="A17" s="8">
        <v>46301</v>
      </c>
      <c r="B17" s="9">
        <v>0.69741898148148151</v>
      </c>
      <c r="C17" s="6">
        <v>10.44922</v>
      </c>
      <c r="D17" s="4">
        <v>817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46301</v>
      </c>
      <c r="B18" s="9">
        <v>0.69741898148148151</v>
      </c>
      <c r="C18" s="6">
        <v>10.964840000000001</v>
      </c>
      <c r="D18" s="4">
        <v>818</v>
      </c>
      <c r="E18" s="4" t="s">
        <v>27</v>
      </c>
      <c r="F18" s="4" t="s">
        <v>27</v>
      </c>
      <c r="G18" s="4">
        <v>4112</v>
      </c>
    </row>
    <row r="19" spans="1:7" x14ac:dyDescent="0.2">
      <c r="A19" s="8">
        <v>46301</v>
      </c>
      <c r="B19" s="9">
        <v>0.69743055555555555</v>
      </c>
      <c r="C19" s="6">
        <v>11.51172</v>
      </c>
      <c r="D19" s="4">
        <v>817</v>
      </c>
      <c r="E19" s="4" t="s">
        <v>35</v>
      </c>
      <c r="F19" s="10">
        <v>0.6</v>
      </c>
      <c r="G19" s="4" t="s">
        <v>26</v>
      </c>
    </row>
    <row r="20" spans="1:7" x14ac:dyDescent="0.2">
      <c r="A20" s="8">
        <v>46301</v>
      </c>
      <c r="B20" s="9">
        <v>0.69743055555555555</v>
      </c>
      <c r="C20" s="6">
        <v>12.027340000000001</v>
      </c>
      <c r="D20" s="4">
        <v>818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46301</v>
      </c>
      <c r="B21" s="9">
        <v>0.69744212962962959</v>
      </c>
      <c r="C21" s="6">
        <v>12.527340000000001</v>
      </c>
      <c r="D21" s="4">
        <v>818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D5B85-9C87-4AB6-9983-564ED8044F91}">
  <sheetPr codeName="工作表10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/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46301</v>
      </c>
      <c r="B2" s="9">
        <v>0.69858796296296299</v>
      </c>
      <c r="C2" s="6">
        <v>1.796875</v>
      </c>
      <c r="D2" s="4">
        <v>811</v>
      </c>
      <c r="E2" s="4" t="s">
        <v>24</v>
      </c>
      <c r="F2" s="4" t="s">
        <v>24</v>
      </c>
      <c r="G2" s="4" t="s">
        <v>24</v>
      </c>
      <c r="I2">
        <f>AVERAGE(D2:D21)</f>
        <v>802.45</v>
      </c>
    </row>
    <row r="3" spans="1:9" x14ac:dyDescent="0.2">
      <c r="A3" s="8">
        <v>46301</v>
      </c>
      <c r="B3" s="9">
        <v>0.69858796296296299</v>
      </c>
      <c r="C3" s="6">
        <v>2.28125</v>
      </c>
      <c r="D3" s="4">
        <v>810</v>
      </c>
      <c r="E3" s="4" t="s">
        <v>24</v>
      </c>
      <c r="F3" s="4" t="s">
        <v>24</v>
      </c>
      <c r="G3" s="4" t="s">
        <v>24</v>
      </c>
      <c r="I3">
        <f>91*(1023-I2)/I2</f>
        <v>25.010966415352975</v>
      </c>
    </row>
    <row r="4" spans="1:9" x14ac:dyDescent="0.2">
      <c r="A4" s="8">
        <v>46301</v>
      </c>
      <c r="B4" s="9">
        <v>0.69859953703703703</v>
      </c>
      <c r="C4" s="6">
        <v>2.78125</v>
      </c>
      <c r="D4" s="4">
        <v>809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46301</v>
      </c>
      <c r="B5" s="9">
        <v>0.69861111111111107</v>
      </c>
      <c r="C5" s="6">
        <v>3.796875</v>
      </c>
      <c r="D5" s="4">
        <v>806</v>
      </c>
      <c r="E5" s="4" t="s">
        <v>27</v>
      </c>
      <c r="F5" s="4" t="s">
        <v>27</v>
      </c>
      <c r="G5" s="4">
        <v>-237</v>
      </c>
    </row>
    <row r="6" spans="1:9" x14ac:dyDescent="0.2">
      <c r="A6" s="8">
        <v>46301</v>
      </c>
      <c r="B6" s="9">
        <v>0.69861111111111107</v>
      </c>
      <c r="C6" s="6">
        <v>4.328125</v>
      </c>
      <c r="D6" s="4">
        <v>805</v>
      </c>
      <c r="E6" s="4" t="s">
        <v>27</v>
      </c>
      <c r="F6" s="4" t="s">
        <v>27</v>
      </c>
      <c r="G6" s="4">
        <v>4112</v>
      </c>
    </row>
    <row r="7" spans="1:9" x14ac:dyDescent="0.2">
      <c r="A7" s="8">
        <v>46301</v>
      </c>
      <c r="B7" s="9">
        <v>0.69862268518518522</v>
      </c>
      <c r="C7" s="6">
        <v>4.859375</v>
      </c>
      <c r="D7" s="4">
        <v>805</v>
      </c>
      <c r="E7" s="4" t="s">
        <v>35</v>
      </c>
      <c r="F7" s="10">
        <v>0.61</v>
      </c>
      <c r="G7" s="4" t="s">
        <v>26</v>
      </c>
    </row>
    <row r="8" spans="1:9" x14ac:dyDescent="0.2">
      <c r="A8" s="8">
        <v>46301</v>
      </c>
      <c r="B8" s="9">
        <v>0.69862268518518522</v>
      </c>
      <c r="C8" s="6">
        <v>5.390625</v>
      </c>
      <c r="D8" s="4">
        <v>801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46301</v>
      </c>
      <c r="B9" s="9">
        <v>0.69863425925925926</v>
      </c>
      <c r="C9" s="6">
        <v>5.890625</v>
      </c>
      <c r="D9" s="4">
        <v>801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46301</v>
      </c>
      <c r="B10" s="9">
        <v>0.69863425925925926</v>
      </c>
      <c r="C10" s="6">
        <v>6.390625</v>
      </c>
      <c r="D10" s="4">
        <v>801</v>
      </c>
      <c r="E10" s="4" t="s">
        <v>24</v>
      </c>
      <c r="F10" s="4" t="s">
        <v>24</v>
      </c>
      <c r="G10" s="4" t="s">
        <v>24</v>
      </c>
    </row>
    <row r="11" spans="1:9" x14ac:dyDescent="0.2">
      <c r="A11" s="8">
        <v>46301</v>
      </c>
      <c r="B11" s="9">
        <v>0.6986458333333333</v>
      </c>
      <c r="C11" s="6">
        <v>6.890625</v>
      </c>
      <c r="D11" s="4">
        <v>800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46301</v>
      </c>
      <c r="B12" s="9">
        <v>0.6986458333333333</v>
      </c>
      <c r="C12" s="6">
        <v>7.40625</v>
      </c>
      <c r="D12" s="4">
        <v>802</v>
      </c>
      <c r="E12" s="4" t="s">
        <v>35</v>
      </c>
      <c r="F12" s="10">
        <v>0.61</v>
      </c>
      <c r="G12" s="4" t="s">
        <v>26</v>
      </c>
    </row>
    <row r="13" spans="1:9" x14ac:dyDescent="0.2">
      <c r="A13" s="8">
        <v>46301</v>
      </c>
      <c r="B13" s="9">
        <v>0.69865740740740745</v>
      </c>
      <c r="C13" s="6">
        <v>7.9375</v>
      </c>
      <c r="D13" s="4">
        <v>799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46301</v>
      </c>
      <c r="B14" s="9">
        <v>0.69865740740740745</v>
      </c>
      <c r="C14" s="6">
        <v>8.4375</v>
      </c>
      <c r="D14" s="4">
        <v>800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46301</v>
      </c>
      <c r="B15" s="9">
        <v>0.69866898148148149</v>
      </c>
      <c r="C15" s="6">
        <v>8.9375</v>
      </c>
      <c r="D15" s="4">
        <v>801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46301</v>
      </c>
      <c r="B16" s="9">
        <v>0.69866898148148149</v>
      </c>
      <c r="C16" s="6">
        <v>9.4375</v>
      </c>
      <c r="D16" s="4">
        <v>801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46301</v>
      </c>
      <c r="B17" s="9">
        <v>0.69868055555555553</v>
      </c>
      <c r="C17" s="6">
        <v>9.953125</v>
      </c>
      <c r="D17" s="4">
        <v>799</v>
      </c>
      <c r="E17" s="4" t="s">
        <v>35</v>
      </c>
      <c r="F17" s="10">
        <v>0.61</v>
      </c>
      <c r="G17" s="4" t="s">
        <v>26</v>
      </c>
    </row>
    <row r="18" spans="1:7" x14ac:dyDescent="0.2">
      <c r="A18" s="8">
        <v>46301</v>
      </c>
      <c r="B18" s="9">
        <v>0.69868055555555553</v>
      </c>
      <c r="C18" s="6">
        <v>10.464840000000001</v>
      </c>
      <c r="D18" s="4">
        <v>799</v>
      </c>
      <c r="E18" s="4" t="s">
        <v>24</v>
      </c>
      <c r="F18" s="4" t="s">
        <v>24</v>
      </c>
      <c r="G18" s="4" t="s">
        <v>24</v>
      </c>
    </row>
    <row r="19" spans="1:7" x14ac:dyDescent="0.2">
      <c r="A19" s="8">
        <v>46301</v>
      </c>
      <c r="B19" s="9">
        <v>0.69869212962962968</v>
      </c>
      <c r="C19" s="6">
        <v>10.98438</v>
      </c>
      <c r="D19" s="4">
        <v>799</v>
      </c>
      <c r="E19" s="4" t="s">
        <v>24</v>
      </c>
      <c r="F19" s="4" t="s">
        <v>24</v>
      </c>
      <c r="G19" s="4" t="s">
        <v>24</v>
      </c>
    </row>
    <row r="20" spans="1:7" x14ac:dyDescent="0.2">
      <c r="A20" s="8">
        <v>46301</v>
      </c>
      <c r="B20" s="9">
        <v>0.69869212962962968</v>
      </c>
      <c r="C20" s="6">
        <v>11.464840000000001</v>
      </c>
      <c r="D20" s="4">
        <v>800</v>
      </c>
      <c r="E20" s="4" t="s">
        <v>24</v>
      </c>
      <c r="F20" s="4" t="s">
        <v>24</v>
      </c>
      <c r="G20" s="4" t="s">
        <v>24</v>
      </c>
    </row>
    <row r="21" spans="1:7" x14ac:dyDescent="0.2">
      <c r="A21" s="8">
        <v>46301</v>
      </c>
      <c r="B21" s="9">
        <v>0.69870370370370372</v>
      </c>
      <c r="C21" s="6">
        <v>11.964840000000001</v>
      </c>
      <c r="D21" s="4">
        <v>800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1FFCA2-FD67-4400-97A2-7C5FC98385AE}">
  <sheetPr codeName="工作表11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/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46301</v>
      </c>
      <c r="B2" s="9">
        <v>0.69980324074074074</v>
      </c>
      <c r="C2" s="6">
        <v>1.8125</v>
      </c>
      <c r="D2" s="4">
        <v>783</v>
      </c>
      <c r="E2" s="4" t="s">
        <v>24</v>
      </c>
      <c r="F2" s="4" t="s">
        <v>24</v>
      </c>
      <c r="G2" s="4" t="s">
        <v>24</v>
      </c>
      <c r="I2">
        <f>AVERAGE(D2:D21)</f>
        <v>781.45</v>
      </c>
    </row>
    <row r="3" spans="1:9" x14ac:dyDescent="0.2">
      <c r="A3" s="8">
        <v>46301</v>
      </c>
      <c r="B3" s="9">
        <v>0.69981481481481478</v>
      </c>
      <c r="C3" s="6">
        <v>2.28125</v>
      </c>
      <c r="D3" s="4">
        <v>784</v>
      </c>
      <c r="E3" s="4" t="s">
        <v>24</v>
      </c>
      <c r="F3" s="4" t="s">
        <v>24</v>
      </c>
      <c r="G3" s="4" t="s">
        <v>24</v>
      </c>
      <c r="I3">
        <f>91*(1023-I2)/I2</f>
        <v>28.128543092968194</v>
      </c>
    </row>
    <row r="4" spans="1:9" x14ac:dyDescent="0.2">
      <c r="A4" s="8">
        <v>46301</v>
      </c>
      <c r="B4" s="9">
        <v>0.69981481481481478</v>
      </c>
      <c r="C4" s="6">
        <v>2.78125</v>
      </c>
      <c r="D4" s="4">
        <v>784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46301</v>
      </c>
      <c r="B5" s="9">
        <v>0.69982638888888893</v>
      </c>
      <c r="C5" s="6">
        <v>3.3125</v>
      </c>
      <c r="D5" s="4">
        <v>782</v>
      </c>
      <c r="E5" s="4" t="s">
        <v>35</v>
      </c>
      <c r="F5" s="10">
        <v>0.61</v>
      </c>
      <c r="G5" s="4" t="s">
        <v>26</v>
      </c>
    </row>
    <row r="6" spans="1:9" x14ac:dyDescent="0.2">
      <c r="A6" s="8">
        <v>46301</v>
      </c>
      <c r="B6" s="9">
        <v>0.69982638888888893</v>
      </c>
      <c r="C6" s="6">
        <v>3.828125</v>
      </c>
      <c r="D6" s="4">
        <v>784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46301</v>
      </c>
      <c r="B7" s="9">
        <v>0.69983796296296297</v>
      </c>
      <c r="C7" s="6">
        <v>4.328125</v>
      </c>
      <c r="D7" s="4">
        <v>781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46301</v>
      </c>
      <c r="B8" s="9">
        <v>0.69983796296296297</v>
      </c>
      <c r="C8" s="6">
        <v>4.828125</v>
      </c>
      <c r="D8" s="4">
        <v>781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46301</v>
      </c>
      <c r="B9" s="9">
        <v>0.69984953703703701</v>
      </c>
      <c r="C9" s="6">
        <v>5.328125</v>
      </c>
      <c r="D9" s="4">
        <v>780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46301</v>
      </c>
      <c r="B10" s="9">
        <v>0.69984953703703701</v>
      </c>
      <c r="C10" s="6">
        <v>5.859375</v>
      </c>
      <c r="D10" s="4">
        <v>781</v>
      </c>
      <c r="E10" s="4" t="s">
        <v>35</v>
      </c>
      <c r="F10" s="10">
        <v>0.61</v>
      </c>
      <c r="G10" s="4" t="s">
        <v>26</v>
      </c>
    </row>
    <row r="11" spans="1:9" x14ac:dyDescent="0.2">
      <c r="A11" s="8">
        <v>46301</v>
      </c>
      <c r="B11" s="9">
        <v>0.69986111111111116</v>
      </c>
      <c r="C11" s="6">
        <v>6.375</v>
      </c>
      <c r="D11" s="4">
        <v>781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46301</v>
      </c>
      <c r="B12" s="9">
        <v>0.69986111111111116</v>
      </c>
      <c r="C12" s="6">
        <v>6.875</v>
      </c>
      <c r="D12" s="4">
        <v>781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46301</v>
      </c>
      <c r="B13" s="9">
        <v>0.69987268518518519</v>
      </c>
      <c r="C13" s="6">
        <v>7.375</v>
      </c>
      <c r="D13" s="4">
        <v>780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46301</v>
      </c>
      <c r="B14" s="9">
        <v>0.69987268518518519</v>
      </c>
      <c r="C14" s="6">
        <v>7.875</v>
      </c>
      <c r="D14" s="4">
        <v>781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46301</v>
      </c>
      <c r="B15" s="9">
        <v>0.69988425925925923</v>
      </c>
      <c r="C15" s="6">
        <v>8.890625</v>
      </c>
      <c r="D15" s="4">
        <v>779</v>
      </c>
      <c r="E15" s="4" t="s">
        <v>27</v>
      </c>
      <c r="F15" s="4" t="s">
        <v>27</v>
      </c>
      <c r="G15" s="4">
        <v>-237</v>
      </c>
    </row>
    <row r="16" spans="1:9" x14ac:dyDescent="0.2">
      <c r="A16" s="8">
        <v>46301</v>
      </c>
      <c r="B16" s="9">
        <v>0.69989583333333338</v>
      </c>
      <c r="C16" s="6">
        <v>9.421875</v>
      </c>
      <c r="D16" s="4">
        <v>782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46301</v>
      </c>
      <c r="B17" s="9">
        <v>0.69990740740740742</v>
      </c>
      <c r="C17" s="6">
        <v>10.45313</v>
      </c>
      <c r="D17" s="4">
        <v>782</v>
      </c>
      <c r="E17" s="4" t="s">
        <v>27</v>
      </c>
      <c r="F17" s="4" t="s">
        <v>27</v>
      </c>
      <c r="G17" s="4">
        <v>-237</v>
      </c>
    </row>
    <row r="18" spans="1:7" x14ac:dyDescent="0.2">
      <c r="A18" s="8">
        <v>46301</v>
      </c>
      <c r="B18" s="9">
        <v>0.69990740740740742</v>
      </c>
      <c r="C18" s="6">
        <v>10.98438</v>
      </c>
      <c r="D18" s="4">
        <v>781</v>
      </c>
      <c r="E18" s="4" t="s">
        <v>27</v>
      </c>
      <c r="F18" s="4" t="s">
        <v>27</v>
      </c>
      <c r="G18" s="4">
        <v>3088</v>
      </c>
    </row>
    <row r="19" spans="1:7" x14ac:dyDescent="0.2">
      <c r="A19" s="8">
        <v>46301</v>
      </c>
      <c r="B19" s="9">
        <v>0.69991898148148146</v>
      </c>
      <c r="C19" s="6">
        <v>12.01563</v>
      </c>
      <c r="D19" s="4">
        <v>781</v>
      </c>
      <c r="E19" s="4" t="s">
        <v>27</v>
      </c>
      <c r="F19" s="4" t="s">
        <v>27</v>
      </c>
      <c r="G19" s="4">
        <v>-237</v>
      </c>
    </row>
    <row r="20" spans="1:7" x14ac:dyDescent="0.2">
      <c r="A20" s="8">
        <v>46301</v>
      </c>
      <c r="B20" s="9">
        <v>0.6999305555555555</v>
      </c>
      <c r="C20" s="6">
        <v>12.54688</v>
      </c>
      <c r="D20" s="4">
        <v>780</v>
      </c>
      <c r="E20" s="4" t="s">
        <v>27</v>
      </c>
      <c r="F20" s="4" t="s">
        <v>27</v>
      </c>
      <c r="G20" s="4">
        <v>4112</v>
      </c>
    </row>
    <row r="21" spans="1:7" x14ac:dyDescent="0.2">
      <c r="A21" s="8">
        <v>46301</v>
      </c>
      <c r="B21" s="9">
        <v>0.69994212962962965</v>
      </c>
      <c r="C21" s="6">
        <v>13.57813</v>
      </c>
      <c r="D21" s="4">
        <v>781</v>
      </c>
      <c r="E21" s="4" t="s">
        <v>27</v>
      </c>
      <c r="F21" s="4" t="s">
        <v>27</v>
      </c>
      <c r="G21" s="4">
        <v>-237</v>
      </c>
    </row>
  </sheetData>
  <phoneticPr fontId="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14F43-5EE1-46FD-8130-07C1E5C81EB4}">
  <sheetPr codeName="工作表12"/>
  <dimension ref="A1:I21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/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46301</v>
      </c>
      <c r="B2" s="9">
        <v>0.70148148148148148</v>
      </c>
      <c r="C2" s="6">
        <v>1.796875</v>
      </c>
      <c r="D2" s="4">
        <v>781</v>
      </c>
      <c r="E2" s="4" t="s">
        <v>24</v>
      </c>
      <c r="F2" s="4" t="s">
        <v>24</v>
      </c>
      <c r="G2" s="4" t="s">
        <v>24</v>
      </c>
      <c r="I2">
        <f>AVERAGE(D2:D21)</f>
        <v>777</v>
      </c>
    </row>
    <row r="3" spans="1:9" x14ac:dyDescent="0.2">
      <c r="A3" s="8">
        <v>46301</v>
      </c>
      <c r="B3" s="9">
        <v>0.70148148148148148</v>
      </c>
      <c r="C3" s="6">
        <v>2.28125</v>
      </c>
      <c r="D3" s="4">
        <v>778</v>
      </c>
      <c r="E3" s="4" t="s">
        <v>24</v>
      </c>
      <c r="F3" s="4" t="s">
        <v>24</v>
      </c>
      <c r="G3" s="4" t="s">
        <v>24</v>
      </c>
      <c r="I3">
        <f>91*(1023-I2)/I2</f>
        <v>28.810810810810811</v>
      </c>
    </row>
    <row r="4" spans="1:9" x14ac:dyDescent="0.2">
      <c r="A4" s="8">
        <v>46301</v>
      </c>
      <c r="B4" s="9">
        <v>0.70149305555555552</v>
      </c>
      <c r="C4" s="6">
        <v>2.78125</v>
      </c>
      <c r="D4" s="4">
        <v>777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46301</v>
      </c>
      <c r="B5" s="9">
        <v>0.70149305555555552</v>
      </c>
      <c r="C5" s="6">
        <v>3.296875</v>
      </c>
      <c r="D5" s="4">
        <v>778</v>
      </c>
      <c r="E5" s="4" t="s">
        <v>35</v>
      </c>
      <c r="F5" s="10">
        <v>0.6</v>
      </c>
      <c r="G5" s="4" t="s">
        <v>26</v>
      </c>
    </row>
    <row r="6" spans="1:9" x14ac:dyDescent="0.2">
      <c r="A6" s="8">
        <v>46301</v>
      </c>
      <c r="B6" s="9">
        <v>0.70150462962962967</v>
      </c>
      <c r="C6" s="6">
        <v>3.8125</v>
      </c>
      <c r="D6" s="4">
        <v>776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46301</v>
      </c>
      <c r="B7" s="9">
        <v>0.70150462962962967</v>
      </c>
      <c r="C7" s="6">
        <v>4.3125</v>
      </c>
      <c r="D7" s="4">
        <v>777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46301</v>
      </c>
      <c r="B8" s="9">
        <v>0.70151620370370371</v>
      </c>
      <c r="C8" s="6">
        <v>4.8125</v>
      </c>
      <c r="D8" s="4">
        <v>778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46301</v>
      </c>
      <c r="B9" s="9">
        <v>0.70151620370370371</v>
      </c>
      <c r="C9" s="6">
        <v>5.3125</v>
      </c>
      <c r="D9" s="4">
        <v>777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46301</v>
      </c>
      <c r="B10" s="9">
        <v>0.70152777777777775</v>
      </c>
      <c r="C10" s="6">
        <v>5.828125</v>
      </c>
      <c r="D10" s="4">
        <v>775</v>
      </c>
      <c r="E10" s="4" t="s">
        <v>27</v>
      </c>
      <c r="F10" s="4" t="s">
        <v>27</v>
      </c>
      <c r="G10" s="4">
        <v>21</v>
      </c>
    </row>
    <row r="11" spans="1:9" x14ac:dyDescent="0.2">
      <c r="A11" s="8">
        <v>46301</v>
      </c>
      <c r="B11" s="9">
        <v>0.70152777777777775</v>
      </c>
      <c r="C11" s="6">
        <v>6.359375</v>
      </c>
      <c r="D11" s="4">
        <v>777</v>
      </c>
      <c r="E11" s="4" t="s">
        <v>27</v>
      </c>
      <c r="F11" s="4" t="s">
        <v>27</v>
      </c>
      <c r="G11" s="4">
        <v>4112</v>
      </c>
    </row>
    <row r="12" spans="1:9" x14ac:dyDescent="0.2">
      <c r="A12" s="8">
        <v>46301</v>
      </c>
      <c r="B12" s="9">
        <v>0.7015393518518519</v>
      </c>
      <c r="C12" s="6">
        <v>6.890625</v>
      </c>
      <c r="D12" s="4">
        <v>776</v>
      </c>
      <c r="E12" s="4" t="s">
        <v>27</v>
      </c>
      <c r="F12" s="4" t="s">
        <v>27</v>
      </c>
      <c r="G12" s="4">
        <v>3088</v>
      </c>
    </row>
    <row r="13" spans="1:9" x14ac:dyDescent="0.2">
      <c r="A13" s="8">
        <v>46301</v>
      </c>
      <c r="B13" s="9">
        <v>0.7015393518518519</v>
      </c>
      <c r="C13" s="6">
        <v>7.421875</v>
      </c>
      <c r="D13" s="4">
        <v>776</v>
      </c>
      <c r="E13" s="4" t="s">
        <v>35</v>
      </c>
      <c r="F13" s="10">
        <v>0.6</v>
      </c>
      <c r="G13" s="4" t="s">
        <v>26</v>
      </c>
    </row>
    <row r="14" spans="1:9" x14ac:dyDescent="0.2">
      <c r="A14" s="8">
        <v>46301</v>
      </c>
      <c r="B14" s="9">
        <v>0.70155092592592594</v>
      </c>
      <c r="C14" s="6">
        <v>7.953125</v>
      </c>
      <c r="D14" s="4">
        <v>776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46301</v>
      </c>
      <c r="B15" s="9">
        <v>0.70155092592592594</v>
      </c>
      <c r="C15" s="6">
        <v>8.453125</v>
      </c>
      <c r="D15" s="4">
        <v>776</v>
      </c>
      <c r="E15" s="4" t="s">
        <v>24</v>
      </c>
      <c r="F15" s="4" t="s">
        <v>24</v>
      </c>
      <c r="G15" s="4" t="s">
        <v>24</v>
      </c>
    </row>
    <row r="16" spans="1:9" x14ac:dyDescent="0.2">
      <c r="A16" s="8">
        <v>46301</v>
      </c>
      <c r="B16" s="9">
        <v>0.70156249999999998</v>
      </c>
      <c r="C16" s="6">
        <v>8.953125</v>
      </c>
      <c r="D16" s="4">
        <v>777</v>
      </c>
      <c r="E16" s="4" t="s">
        <v>24</v>
      </c>
      <c r="F16" s="4" t="s">
        <v>24</v>
      </c>
      <c r="G16" s="4" t="s">
        <v>24</v>
      </c>
    </row>
    <row r="17" spans="1:7" x14ac:dyDescent="0.2">
      <c r="A17" s="8">
        <v>46301</v>
      </c>
      <c r="B17" s="9">
        <v>0.70156249999999998</v>
      </c>
      <c r="C17" s="6">
        <v>9.453125</v>
      </c>
      <c r="D17" s="4">
        <v>777</v>
      </c>
      <c r="E17" s="4" t="s">
        <v>24</v>
      </c>
      <c r="F17" s="4" t="s">
        <v>24</v>
      </c>
      <c r="G17" s="4" t="s">
        <v>24</v>
      </c>
    </row>
    <row r="18" spans="1:7" x14ac:dyDescent="0.2">
      <c r="A18" s="8">
        <v>46301</v>
      </c>
      <c r="B18" s="9">
        <v>0.70157407407407413</v>
      </c>
      <c r="C18" s="6">
        <v>10.464840000000001</v>
      </c>
      <c r="D18" s="4">
        <v>776</v>
      </c>
      <c r="E18" s="4" t="s">
        <v>27</v>
      </c>
      <c r="F18" s="4" t="s">
        <v>27</v>
      </c>
      <c r="G18" s="4">
        <v>-237</v>
      </c>
    </row>
    <row r="19" spans="1:7" x14ac:dyDescent="0.2">
      <c r="A19" s="8">
        <v>46301</v>
      </c>
      <c r="B19" s="9">
        <v>0.70158564814814817</v>
      </c>
      <c r="C19" s="6">
        <v>10.98047</v>
      </c>
      <c r="D19" s="4">
        <v>777</v>
      </c>
      <c r="E19" s="4" t="s">
        <v>27</v>
      </c>
      <c r="F19" s="4" t="s">
        <v>27</v>
      </c>
      <c r="G19" s="4">
        <v>4112</v>
      </c>
    </row>
    <row r="20" spans="1:7" x14ac:dyDescent="0.2">
      <c r="A20" s="8">
        <v>46301</v>
      </c>
      <c r="B20" s="9">
        <v>0.70158564814814817</v>
      </c>
      <c r="C20" s="6">
        <v>11.527340000000001</v>
      </c>
      <c r="D20" s="4">
        <v>777</v>
      </c>
      <c r="E20" s="4" t="s">
        <v>35</v>
      </c>
      <c r="F20" s="10">
        <v>0.6</v>
      </c>
      <c r="G20" s="4" t="s">
        <v>26</v>
      </c>
    </row>
    <row r="21" spans="1:7" x14ac:dyDescent="0.2">
      <c r="A21" s="8">
        <v>46301</v>
      </c>
      <c r="B21" s="9">
        <v>0.70159722222222221</v>
      </c>
      <c r="C21" s="6">
        <v>12.04297</v>
      </c>
      <c r="D21" s="4">
        <v>778</v>
      </c>
      <c r="E21" s="4" t="s">
        <v>24</v>
      </c>
      <c r="F21" s="4" t="s">
        <v>24</v>
      </c>
      <c r="G21" s="4" t="s">
        <v>24</v>
      </c>
    </row>
  </sheetData>
  <phoneticPr fontId="4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3D09C-E0C2-4B4D-9E82-EB891608CBE5}">
  <sheetPr codeName="工作表13"/>
  <dimension ref="A1:I22"/>
  <sheetViews>
    <sheetView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/>
      <c r="B1" s="5" t="s">
        <v>18</v>
      </c>
      <c r="C1" s="7" t="s">
        <v>19</v>
      </c>
      <c r="D1" s="5" t="s">
        <v>20</v>
      </c>
      <c r="E1" s="5" t="s">
        <v>21</v>
      </c>
      <c r="F1" s="5" t="s">
        <v>22</v>
      </c>
      <c r="G1" s="5" t="s">
        <v>23</v>
      </c>
    </row>
    <row r="2" spans="1:9" x14ac:dyDescent="0.2">
      <c r="A2" s="8">
        <v>46301</v>
      </c>
      <c r="B2" s="9">
        <v>0.70251157407407405</v>
      </c>
      <c r="C2" s="6">
        <v>1.8125</v>
      </c>
      <c r="D2" s="4">
        <v>791</v>
      </c>
      <c r="E2" s="4" t="s">
        <v>24</v>
      </c>
      <c r="F2" s="4" t="s">
        <v>24</v>
      </c>
      <c r="G2" s="4" t="s">
        <v>24</v>
      </c>
      <c r="I2">
        <f>AVERAGE(D2:D21)</f>
        <v>782.1</v>
      </c>
    </row>
    <row r="3" spans="1:9" x14ac:dyDescent="0.2">
      <c r="A3" s="8">
        <v>46301</v>
      </c>
      <c r="B3" s="9">
        <v>0.7025231481481482</v>
      </c>
      <c r="C3" s="6">
        <v>2.28125</v>
      </c>
      <c r="D3" s="4">
        <v>791</v>
      </c>
      <c r="E3" s="4" t="s">
        <v>24</v>
      </c>
      <c r="F3" s="4" t="s">
        <v>24</v>
      </c>
      <c r="G3" s="4" t="s">
        <v>24</v>
      </c>
      <c r="I3">
        <f>91*(1023-I2)/I2</f>
        <v>28.0295358649789</v>
      </c>
    </row>
    <row r="4" spans="1:9" x14ac:dyDescent="0.2">
      <c r="A4" s="8">
        <v>46301</v>
      </c>
      <c r="B4" s="9">
        <v>0.7025231481481482</v>
      </c>
      <c r="C4" s="6">
        <v>2.78125</v>
      </c>
      <c r="D4" s="4">
        <v>787</v>
      </c>
      <c r="E4" s="4" t="s">
        <v>24</v>
      </c>
      <c r="F4" s="4" t="s">
        <v>24</v>
      </c>
      <c r="G4" s="4" t="s">
        <v>24</v>
      </c>
    </row>
    <row r="5" spans="1:9" x14ac:dyDescent="0.2">
      <c r="A5" s="8">
        <v>46301</v>
      </c>
      <c r="B5" s="9">
        <v>0.70253472222222224</v>
      </c>
      <c r="C5" s="6">
        <v>3.296875</v>
      </c>
      <c r="D5" s="4">
        <v>788</v>
      </c>
      <c r="E5" s="4" t="s">
        <v>35</v>
      </c>
      <c r="F5" s="10">
        <v>0.61</v>
      </c>
      <c r="G5" s="4" t="s">
        <v>26</v>
      </c>
    </row>
    <row r="6" spans="1:9" x14ac:dyDescent="0.2">
      <c r="A6" s="8">
        <v>46301</v>
      </c>
      <c r="B6" s="9">
        <v>0.70253472222222224</v>
      </c>
      <c r="C6" s="6">
        <v>3.828125</v>
      </c>
      <c r="D6" s="4">
        <v>785</v>
      </c>
      <c r="E6" s="4" t="s">
        <v>24</v>
      </c>
      <c r="F6" s="4" t="s">
        <v>24</v>
      </c>
      <c r="G6" s="4" t="s">
        <v>24</v>
      </c>
    </row>
    <row r="7" spans="1:9" x14ac:dyDescent="0.2">
      <c r="A7" s="8">
        <v>46301</v>
      </c>
      <c r="B7" s="9">
        <v>0.70254629629629628</v>
      </c>
      <c r="C7" s="6">
        <v>4.328125</v>
      </c>
      <c r="D7" s="4">
        <v>784</v>
      </c>
      <c r="E7" s="4" t="s">
        <v>24</v>
      </c>
      <c r="F7" s="4" t="s">
        <v>24</v>
      </c>
      <c r="G7" s="4" t="s">
        <v>24</v>
      </c>
    </row>
    <row r="8" spans="1:9" x14ac:dyDescent="0.2">
      <c r="A8" s="8">
        <v>46301</v>
      </c>
      <c r="B8" s="9">
        <v>0.70254629629629628</v>
      </c>
      <c r="C8" s="6">
        <v>4.8242190000000003</v>
      </c>
      <c r="D8" s="4">
        <v>782</v>
      </c>
      <c r="E8" s="4" t="s">
        <v>24</v>
      </c>
      <c r="F8" s="4" t="s">
        <v>24</v>
      </c>
      <c r="G8" s="4" t="s">
        <v>24</v>
      </c>
    </row>
    <row r="9" spans="1:9" x14ac:dyDescent="0.2">
      <c r="A9" s="8">
        <v>46301</v>
      </c>
      <c r="B9" s="9">
        <v>0.70255787037037032</v>
      </c>
      <c r="C9" s="6">
        <v>5.3242190000000003</v>
      </c>
      <c r="D9" s="4">
        <v>784</v>
      </c>
      <c r="E9" s="4" t="s">
        <v>24</v>
      </c>
      <c r="F9" s="4" t="s">
        <v>24</v>
      </c>
      <c r="G9" s="4" t="s">
        <v>24</v>
      </c>
    </row>
    <row r="10" spans="1:9" x14ac:dyDescent="0.2">
      <c r="A10" s="8">
        <v>46301</v>
      </c>
      <c r="B10" s="9">
        <v>0.70255787037037032</v>
      </c>
      <c r="C10" s="6">
        <v>5.8398440000000003</v>
      </c>
      <c r="D10" s="4">
        <v>782</v>
      </c>
      <c r="E10" s="4" t="s">
        <v>35</v>
      </c>
      <c r="F10" s="10">
        <v>0.61</v>
      </c>
      <c r="G10" s="4" t="s">
        <v>26</v>
      </c>
    </row>
    <row r="11" spans="1:9" x14ac:dyDescent="0.2">
      <c r="A11" s="8">
        <v>46301</v>
      </c>
      <c r="B11" s="9">
        <v>0.70256944444444447</v>
      </c>
      <c r="C11" s="6">
        <v>6.3710940000000003</v>
      </c>
      <c r="D11" s="4">
        <v>781</v>
      </c>
      <c r="E11" s="4" t="s">
        <v>24</v>
      </c>
      <c r="F11" s="4" t="s">
        <v>24</v>
      </c>
      <c r="G11" s="4" t="s">
        <v>24</v>
      </c>
    </row>
    <row r="12" spans="1:9" x14ac:dyDescent="0.2">
      <c r="A12" s="8">
        <v>46301</v>
      </c>
      <c r="B12" s="9">
        <v>0.70256944444444447</v>
      </c>
      <c r="C12" s="6">
        <v>6.8710940000000003</v>
      </c>
      <c r="D12" s="4">
        <v>781</v>
      </c>
      <c r="E12" s="4" t="s">
        <v>24</v>
      </c>
      <c r="F12" s="4" t="s">
        <v>24</v>
      </c>
      <c r="G12" s="4" t="s">
        <v>24</v>
      </c>
    </row>
    <row r="13" spans="1:9" x14ac:dyDescent="0.2">
      <c r="A13" s="8">
        <v>46301</v>
      </c>
      <c r="B13" s="9">
        <v>0.70258101851851851</v>
      </c>
      <c r="C13" s="6">
        <v>7.3710940000000003</v>
      </c>
      <c r="D13" s="4">
        <v>780</v>
      </c>
      <c r="E13" s="4" t="s">
        <v>24</v>
      </c>
      <c r="F13" s="4" t="s">
        <v>24</v>
      </c>
      <c r="G13" s="4" t="s">
        <v>24</v>
      </c>
    </row>
    <row r="14" spans="1:9" x14ac:dyDescent="0.2">
      <c r="A14" s="8">
        <v>46301</v>
      </c>
      <c r="B14" s="9">
        <v>0.70258101851851851</v>
      </c>
      <c r="C14" s="6">
        <v>7.8710940000000003</v>
      </c>
      <c r="D14" s="4">
        <v>780</v>
      </c>
      <c r="E14" s="4" t="s">
        <v>24</v>
      </c>
      <c r="F14" s="4" t="s">
        <v>24</v>
      </c>
      <c r="G14" s="4" t="s">
        <v>24</v>
      </c>
    </row>
    <row r="15" spans="1:9" x14ac:dyDescent="0.2">
      <c r="A15" s="8">
        <v>46301</v>
      </c>
      <c r="B15" s="9">
        <v>0.70259259259259255</v>
      </c>
      <c r="C15" s="6">
        <v>8.3867189999999994</v>
      </c>
      <c r="D15" s="4">
        <v>780</v>
      </c>
      <c r="E15" s="4" t="s">
        <v>27</v>
      </c>
      <c r="F15" s="4" t="s">
        <v>27</v>
      </c>
      <c r="G15" s="4">
        <v>21</v>
      </c>
    </row>
    <row r="16" spans="1:9" x14ac:dyDescent="0.2">
      <c r="A16" s="8">
        <v>46301</v>
      </c>
      <c r="B16" s="9">
        <v>0.70259259259259255</v>
      </c>
      <c r="C16" s="6">
        <v>8.9179689999999994</v>
      </c>
      <c r="D16" s="4">
        <v>779</v>
      </c>
      <c r="E16" s="4" t="s">
        <v>27</v>
      </c>
      <c r="F16" s="4" t="s">
        <v>27</v>
      </c>
      <c r="G16" s="4">
        <v>4112</v>
      </c>
    </row>
    <row r="17" spans="1:7" x14ac:dyDescent="0.2">
      <c r="A17" s="8">
        <v>46301</v>
      </c>
      <c r="B17" s="9">
        <v>0.7026041666666667</v>
      </c>
      <c r="C17" s="6">
        <v>9.4335939999999994</v>
      </c>
      <c r="D17" s="4">
        <v>777</v>
      </c>
      <c r="E17" s="4" t="s">
        <v>27</v>
      </c>
      <c r="F17" s="4" t="s">
        <v>27</v>
      </c>
      <c r="G17" s="4">
        <v>4112</v>
      </c>
    </row>
    <row r="18" spans="1:7" x14ac:dyDescent="0.2">
      <c r="A18" s="8">
        <v>46301</v>
      </c>
      <c r="B18" s="9">
        <v>0.70261574074074074</v>
      </c>
      <c r="C18" s="6">
        <v>10.48047</v>
      </c>
      <c r="D18" s="4">
        <v>778</v>
      </c>
      <c r="E18" s="4" t="s">
        <v>27</v>
      </c>
      <c r="F18" s="4" t="s">
        <v>27</v>
      </c>
      <c r="G18" s="4">
        <v>-237</v>
      </c>
    </row>
    <row r="19" spans="1:7" x14ac:dyDescent="0.2">
      <c r="A19" s="8">
        <v>46301</v>
      </c>
      <c r="B19" s="9">
        <v>0.70261574074074074</v>
      </c>
      <c r="C19" s="6">
        <v>10.996090000000001</v>
      </c>
      <c r="D19" s="4">
        <v>778</v>
      </c>
      <c r="E19" s="4" t="s">
        <v>27</v>
      </c>
      <c r="F19" s="4" t="s">
        <v>27</v>
      </c>
      <c r="G19" s="4">
        <v>4112</v>
      </c>
    </row>
    <row r="20" spans="1:7" x14ac:dyDescent="0.2">
      <c r="A20" s="8">
        <v>46301</v>
      </c>
      <c r="B20" s="9">
        <v>0.70262731481481477</v>
      </c>
      <c r="C20" s="6">
        <v>11.527340000000001</v>
      </c>
      <c r="D20" s="4">
        <v>777</v>
      </c>
      <c r="E20" s="4" t="s">
        <v>27</v>
      </c>
      <c r="F20" s="4" t="s">
        <v>27</v>
      </c>
      <c r="G20" s="4">
        <v>21</v>
      </c>
    </row>
    <row r="21" spans="1:7" x14ac:dyDescent="0.2">
      <c r="A21" s="8">
        <v>46301</v>
      </c>
      <c r="B21" s="9">
        <v>0.70262731481481477</v>
      </c>
      <c r="C21" s="6">
        <v>12.058590000000001</v>
      </c>
      <c r="D21" s="4">
        <v>777</v>
      </c>
      <c r="E21" s="4" t="s">
        <v>27</v>
      </c>
      <c r="F21" s="4" t="s">
        <v>27</v>
      </c>
      <c r="G21" s="4">
        <v>4112</v>
      </c>
    </row>
    <row r="22" spans="1:7" x14ac:dyDescent="0.2">
      <c r="A22" s="8">
        <v>46301</v>
      </c>
      <c r="B22" s="9">
        <v>0.70263888888888892</v>
      </c>
      <c r="C22" s="6">
        <v>12.57422</v>
      </c>
      <c r="D22" s="4">
        <v>778</v>
      </c>
      <c r="E22" s="4" t="s">
        <v>27</v>
      </c>
      <c r="F22" s="4" t="s">
        <v>27</v>
      </c>
      <c r="G22" s="4">
        <v>4112</v>
      </c>
    </row>
  </sheetData>
  <phoneticPr fontId="4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91E5A-C210-49D6-BC65-25289637D6A5}">
  <sheetPr codeName="工作表14"/>
  <dimension ref="A1:I21"/>
  <sheetViews>
    <sheetView tabSelected="1" workbookViewId="0">
      <selection activeCell="I2" sqref="I2"/>
    </sheetView>
  </sheetViews>
  <sheetFormatPr defaultRowHeight="12.75" x14ac:dyDescent="0.2"/>
  <cols>
    <col min="1" max="2" width="9.140625" style="4"/>
    <col min="3" max="3" width="9.140625" style="6"/>
    <col min="4" max="7" width="9.140625" style="4"/>
  </cols>
  <sheetData>
    <row r="1" spans="1:9" x14ac:dyDescent="0.2">
      <c r="A1" s="5" t="s">
        <v>28</v>
      </c>
      <c r="B1" s="5" t="s">
        <v>29</v>
      </c>
      <c r="C1" s="7" t="s">
        <v>30</v>
      </c>
      <c r="D1" s="5" t="s">
        <v>31</v>
      </c>
      <c r="E1" s="5" t="s">
        <v>32</v>
      </c>
      <c r="F1" s="5" t="s">
        <v>33</v>
      </c>
      <c r="G1" s="5" t="s">
        <v>34</v>
      </c>
    </row>
    <row r="2" spans="1:9" x14ac:dyDescent="0.2">
      <c r="A2" s="8">
        <v>46301</v>
      </c>
      <c r="B2" s="9">
        <v>0.7038078703703704</v>
      </c>
      <c r="C2" s="6">
        <v>1.8125</v>
      </c>
      <c r="D2" s="11">
        <v>777</v>
      </c>
      <c r="E2" s="11" t="s">
        <v>24</v>
      </c>
      <c r="F2" s="11" t="s">
        <v>24</v>
      </c>
      <c r="G2" s="11" t="s">
        <v>24</v>
      </c>
      <c r="I2">
        <f>AVERAGE(D2:D21)</f>
        <v>776.45</v>
      </c>
    </row>
    <row r="3" spans="1:9" x14ac:dyDescent="0.2">
      <c r="A3" s="8">
        <v>46301</v>
      </c>
      <c r="B3" s="9">
        <v>0.70381944444444444</v>
      </c>
      <c r="C3" s="6">
        <v>2.296875</v>
      </c>
      <c r="D3" s="11">
        <v>776</v>
      </c>
      <c r="E3" s="11" t="s">
        <v>24</v>
      </c>
      <c r="F3" s="11" t="s">
        <v>24</v>
      </c>
      <c r="G3" s="11" t="s">
        <v>24</v>
      </c>
      <c r="I3">
        <f>91*(1023-I2)/I2</f>
        <v>28.895679052096071</v>
      </c>
    </row>
    <row r="4" spans="1:9" x14ac:dyDescent="0.2">
      <c r="A4" s="8">
        <v>46301</v>
      </c>
      <c r="B4" s="9">
        <v>0.70381944444444444</v>
      </c>
      <c r="C4" s="6">
        <v>2.796875</v>
      </c>
      <c r="D4" s="11">
        <v>775</v>
      </c>
      <c r="E4" s="11" t="s">
        <v>24</v>
      </c>
      <c r="F4" s="11" t="s">
        <v>24</v>
      </c>
      <c r="G4" s="11" t="s">
        <v>24</v>
      </c>
    </row>
    <row r="5" spans="1:9" x14ac:dyDescent="0.2">
      <c r="A5" s="8">
        <v>46301</v>
      </c>
      <c r="B5" s="9">
        <v>0.70383101851851848</v>
      </c>
      <c r="C5" s="6">
        <v>3.3085939999999998</v>
      </c>
      <c r="D5" s="11">
        <v>778</v>
      </c>
      <c r="E5" s="11" t="s">
        <v>35</v>
      </c>
      <c r="F5" s="10">
        <v>0.61</v>
      </c>
      <c r="G5" s="11" t="s">
        <v>26</v>
      </c>
    </row>
    <row r="6" spans="1:9" x14ac:dyDescent="0.2">
      <c r="A6" s="8">
        <v>46301</v>
      </c>
      <c r="B6" s="9">
        <v>0.70383101851851848</v>
      </c>
      <c r="C6" s="6">
        <v>3.8242189999999998</v>
      </c>
      <c r="D6" s="11">
        <v>775</v>
      </c>
      <c r="E6" s="11" t="s">
        <v>24</v>
      </c>
      <c r="F6" s="11" t="s">
        <v>24</v>
      </c>
      <c r="G6" s="11" t="s">
        <v>24</v>
      </c>
    </row>
    <row r="7" spans="1:9" x14ac:dyDescent="0.2">
      <c r="A7" s="8">
        <v>46301</v>
      </c>
      <c r="B7" s="9">
        <v>0.70384259259259263</v>
      </c>
      <c r="C7" s="6">
        <v>4.3242190000000003</v>
      </c>
      <c r="D7" s="11">
        <v>775</v>
      </c>
      <c r="E7" s="11" t="s">
        <v>24</v>
      </c>
      <c r="F7" s="11" t="s">
        <v>24</v>
      </c>
      <c r="G7" s="11" t="s">
        <v>24</v>
      </c>
    </row>
    <row r="8" spans="1:9" x14ac:dyDescent="0.2">
      <c r="A8" s="8">
        <v>46301</v>
      </c>
      <c r="B8" s="9">
        <v>0.70384259259259263</v>
      </c>
      <c r="C8" s="6">
        <v>4.8242190000000003</v>
      </c>
      <c r="D8" s="11">
        <v>777</v>
      </c>
      <c r="E8" s="11" t="s">
        <v>24</v>
      </c>
      <c r="F8" s="11" t="s">
        <v>24</v>
      </c>
      <c r="G8" s="11" t="s">
        <v>24</v>
      </c>
    </row>
    <row r="9" spans="1:9" x14ac:dyDescent="0.2">
      <c r="A9" s="8">
        <v>46301</v>
      </c>
      <c r="B9" s="9">
        <v>0.70385416666666667</v>
      </c>
      <c r="C9" s="6">
        <v>5.3242190000000003</v>
      </c>
      <c r="D9" s="11">
        <v>777</v>
      </c>
      <c r="E9" s="11" t="s">
        <v>24</v>
      </c>
      <c r="F9" s="11" t="s">
        <v>24</v>
      </c>
      <c r="G9" s="11" t="s">
        <v>24</v>
      </c>
    </row>
    <row r="10" spans="1:9" x14ac:dyDescent="0.2">
      <c r="A10" s="8">
        <v>46301</v>
      </c>
      <c r="B10" s="9">
        <v>0.70385416666666667</v>
      </c>
      <c r="C10" s="6">
        <v>5.8554690000000003</v>
      </c>
      <c r="D10" s="11">
        <v>775</v>
      </c>
      <c r="E10" s="11" t="s">
        <v>35</v>
      </c>
      <c r="F10" s="10">
        <v>0.61</v>
      </c>
      <c r="G10" s="11" t="s">
        <v>26</v>
      </c>
    </row>
    <row r="11" spans="1:9" x14ac:dyDescent="0.2">
      <c r="A11" s="8">
        <v>46301</v>
      </c>
      <c r="B11" s="9">
        <v>0.70386574074074071</v>
      </c>
      <c r="C11" s="6">
        <v>6.3710940000000003</v>
      </c>
      <c r="D11" s="11">
        <v>777</v>
      </c>
      <c r="E11" s="11" t="s">
        <v>24</v>
      </c>
      <c r="F11" s="11" t="s">
        <v>24</v>
      </c>
      <c r="G11" s="11" t="s">
        <v>24</v>
      </c>
    </row>
    <row r="12" spans="1:9" x14ac:dyDescent="0.2">
      <c r="A12" s="8">
        <v>46301</v>
      </c>
      <c r="B12" s="9">
        <v>0.70386574074074071</v>
      </c>
      <c r="C12" s="6">
        <v>6.8710940000000003</v>
      </c>
      <c r="D12" s="11">
        <v>776</v>
      </c>
      <c r="E12" s="11" t="s">
        <v>24</v>
      </c>
      <c r="F12" s="11" t="s">
        <v>24</v>
      </c>
      <c r="G12" s="11" t="s">
        <v>24</v>
      </c>
    </row>
    <row r="13" spans="1:9" x14ac:dyDescent="0.2">
      <c r="A13" s="8">
        <v>46301</v>
      </c>
      <c r="B13" s="9">
        <v>0.70387731481481486</v>
      </c>
      <c r="C13" s="6">
        <v>7.3710940000000003</v>
      </c>
      <c r="D13" s="11">
        <v>775</v>
      </c>
      <c r="E13" s="11" t="s">
        <v>24</v>
      </c>
      <c r="F13" s="11" t="s">
        <v>24</v>
      </c>
      <c r="G13" s="11" t="s">
        <v>24</v>
      </c>
    </row>
    <row r="14" spans="1:9" x14ac:dyDescent="0.2">
      <c r="A14" s="8">
        <v>46301</v>
      </c>
      <c r="B14" s="9">
        <v>0.70387731481481486</v>
      </c>
      <c r="C14" s="6">
        <v>7.8710940000000003</v>
      </c>
      <c r="D14" s="11">
        <v>778</v>
      </c>
      <c r="E14" s="11" t="s">
        <v>24</v>
      </c>
      <c r="F14" s="11" t="s">
        <v>24</v>
      </c>
      <c r="G14" s="11" t="s">
        <v>24</v>
      </c>
    </row>
    <row r="15" spans="1:9" x14ac:dyDescent="0.2">
      <c r="A15" s="8">
        <v>46301</v>
      </c>
      <c r="B15" s="9">
        <v>0.7038888888888889</v>
      </c>
      <c r="C15" s="6">
        <v>8.3867189999999994</v>
      </c>
      <c r="D15" s="11">
        <v>778</v>
      </c>
      <c r="E15" s="11" t="s">
        <v>27</v>
      </c>
      <c r="F15" s="11" t="s">
        <v>27</v>
      </c>
      <c r="G15" s="11">
        <v>21</v>
      </c>
    </row>
    <row r="16" spans="1:9" x14ac:dyDescent="0.2">
      <c r="A16" s="8">
        <v>46301</v>
      </c>
      <c r="B16" s="9">
        <v>0.7038888888888889</v>
      </c>
      <c r="C16" s="6">
        <v>8.9179689999999994</v>
      </c>
      <c r="D16" s="11">
        <v>775</v>
      </c>
      <c r="E16" s="11" t="s">
        <v>27</v>
      </c>
      <c r="F16" s="11" t="s">
        <v>27</v>
      </c>
      <c r="G16" s="11">
        <v>4112</v>
      </c>
    </row>
    <row r="17" spans="1:7" x14ac:dyDescent="0.2">
      <c r="A17" s="8">
        <v>46301</v>
      </c>
      <c r="B17" s="9">
        <v>0.70390046296296294</v>
      </c>
      <c r="C17" s="6">
        <v>9.4335939999999994</v>
      </c>
      <c r="D17" s="11">
        <v>777</v>
      </c>
      <c r="E17" s="11" t="s">
        <v>27</v>
      </c>
      <c r="F17" s="11" t="s">
        <v>27</v>
      </c>
      <c r="G17" s="11">
        <v>4112</v>
      </c>
    </row>
    <row r="18" spans="1:7" x14ac:dyDescent="0.2">
      <c r="A18" s="8">
        <v>46301</v>
      </c>
      <c r="B18" s="9">
        <v>0.70391203703703709</v>
      </c>
      <c r="C18" s="6">
        <v>10.48047</v>
      </c>
      <c r="D18" s="11">
        <v>777</v>
      </c>
      <c r="E18" s="11" t="s">
        <v>27</v>
      </c>
      <c r="F18" s="11" t="s">
        <v>27</v>
      </c>
      <c r="G18" s="11">
        <v>-237</v>
      </c>
    </row>
    <row r="19" spans="1:7" x14ac:dyDescent="0.2">
      <c r="A19" s="8">
        <v>46301</v>
      </c>
      <c r="B19" s="9">
        <v>0.70391203703703709</v>
      </c>
      <c r="C19" s="6">
        <v>10.996090000000001</v>
      </c>
      <c r="D19" s="11">
        <v>777</v>
      </c>
      <c r="E19" s="11" t="s">
        <v>27</v>
      </c>
      <c r="F19" s="11" t="s">
        <v>27</v>
      </c>
      <c r="G19" s="11">
        <v>4112</v>
      </c>
    </row>
    <row r="20" spans="1:7" x14ac:dyDescent="0.2">
      <c r="A20" s="8">
        <v>46301</v>
      </c>
      <c r="B20" s="9">
        <v>0.70392361111111112</v>
      </c>
      <c r="C20" s="6">
        <v>11.527340000000001</v>
      </c>
      <c r="D20" s="4">
        <v>778</v>
      </c>
      <c r="E20" s="4" t="s">
        <v>27</v>
      </c>
      <c r="F20" s="4" t="s">
        <v>27</v>
      </c>
      <c r="G20" s="4">
        <v>21</v>
      </c>
    </row>
    <row r="21" spans="1:7" x14ac:dyDescent="0.2">
      <c r="A21" s="8">
        <v>46301</v>
      </c>
      <c r="B21" s="9">
        <v>0.70392361111111112</v>
      </c>
      <c r="C21" s="6">
        <v>12.058590000000001</v>
      </c>
      <c r="D21" s="4">
        <v>776</v>
      </c>
      <c r="E21" s="4" t="s">
        <v>27</v>
      </c>
      <c r="F21" s="4" t="s">
        <v>27</v>
      </c>
      <c r="G21" s="4">
        <v>4112</v>
      </c>
    </row>
  </sheetData>
  <phoneticPr fontId="4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3" t="s">
        <v>3</v>
      </c>
      <c r="F3" s="14"/>
    </row>
    <row r="4" spans="2:13" ht="12.75" customHeight="1" x14ac:dyDescent="0.2">
      <c r="B4" s="1" t="s">
        <v>1</v>
      </c>
      <c r="C4" s="3">
        <v>9600</v>
      </c>
      <c r="E4" s="15"/>
      <c r="F4" s="16"/>
    </row>
    <row r="5" spans="2:13" ht="12.75" customHeight="1" x14ac:dyDescent="0.2">
      <c r="B5" s="1" t="s">
        <v>2</v>
      </c>
      <c r="C5" s="2" t="b">
        <v>1</v>
      </c>
      <c r="E5" s="15"/>
      <c r="F5" s="16"/>
    </row>
    <row r="6" spans="2:13" ht="12.75" customHeight="1" x14ac:dyDescent="0.2">
      <c r="B6" s="1" t="s">
        <v>5</v>
      </c>
      <c r="C6" s="2" t="b">
        <v>1</v>
      </c>
      <c r="E6" s="15"/>
      <c r="F6" s="16"/>
    </row>
    <row r="7" spans="2:13" ht="12.75" customHeight="1" x14ac:dyDescent="0.2">
      <c r="B7" s="1" t="s">
        <v>6</v>
      </c>
      <c r="C7" s="2" t="b">
        <v>1</v>
      </c>
      <c r="E7" s="15"/>
      <c r="F7" s="16"/>
      <c r="M7" s="1"/>
    </row>
    <row r="8" spans="2:13" ht="12.75" customHeight="1" x14ac:dyDescent="0.2">
      <c r="B8" s="1" t="s">
        <v>7</v>
      </c>
      <c r="C8" s="2" t="b">
        <v>0</v>
      </c>
      <c r="E8" s="15"/>
      <c r="F8" s="16"/>
      <c r="L8" s="1"/>
      <c r="M8" s="1"/>
    </row>
    <row r="9" spans="2:13" ht="12.75" customHeight="1" x14ac:dyDescent="0.2">
      <c r="B9" s="1" t="s">
        <v>4</v>
      </c>
      <c r="C9" s="3" t="s">
        <v>40</v>
      </c>
      <c r="E9" s="15"/>
      <c r="F9" s="16"/>
      <c r="M9" s="1"/>
    </row>
    <row r="10" spans="2:13" ht="13.5" customHeight="1" x14ac:dyDescent="0.2">
      <c r="B10" s="1" t="s">
        <v>9</v>
      </c>
      <c r="C10" s="2" t="b">
        <v>1</v>
      </c>
      <c r="E10" s="15"/>
      <c r="F10" s="16"/>
    </row>
    <row r="11" spans="2:13" ht="13.5" customHeight="1" x14ac:dyDescent="0.2">
      <c r="B11" s="1" t="s">
        <v>8</v>
      </c>
      <c r="C11" s="2" t="b">
        <v>1</v>
      </c>
      <c r="E11" s="15"/>
      <c r="F11" s="16"/>
    </row>
    <row r="12" spans="2:13" ht="12.75" customHeight="1" x14ac:dyDescent="0.2">
      <c r="B12" s="1" t="s">
        <v>10</v>
      </c>
      <c r="C12" s="2" t="b">
        <v>1</v>
      </c>
      <c r="E12" s="15"/>
      <c r="F12" s="16"/>
    </row>
    <row r="13" spans="2:13" ht="12.75" customHeight="1" x14ac:dyDescent="0.2">
      <c r="B13" s="1" t="s">
        <v>11</v>
      </c>
      <c r="C13" s="2" t="b">
        <v>1</v>
      </c>
      <c r="E13" s="15"/>
      <c r="F13" s="16"/>
    </row>
    <row r="14" spans="2:13" ht="13.5" customHeight="1" x14ac:dyDescent="0.2">
      <c r="B14" s="1" t="s">
        <v>12</v>
      </c>
      <c r="C14" s="2">
        <v>536.25</v>
      </c>
      <c r="E14" s="15"/>
      <c r="F14" s="16"/>
    </row>
    <row r="15" spans="2:13" x14ac:dyDescent="0.2">
      <c r="B15" s="1" t="s">
        <v>13</v>
      </c>
      <c r="C15" s="3">
        <v>1024</v>
      </c>
      <c r="E15" s="15"/>
      <c r="F15" s="16"/>
    </row>
    <row r="16" spans="2:13" x14ac:dyDescent="0.2">
      <c r="B16" s="1" t="s">
        <v>14</v>
      </c>
      <c r="C16" s="3">
        <v>1024</v>
      </c>
      <c r="E16" s="15"/>
      <c r="F16" s="16"/>
    </row>
    <row r="17" spans="2:6" x14ac:dyDescent="0.2">
      <c r="B17" s="1" t="s">
        <v>15</v>
      </c>
      <c r="C17" s="3">
        <v>1024</v>
      </c>
      <c r="E17" s="15"/>
      <c r="F17" s="16"/>
    </row>
    <row r="18" spans="2:6" ht="13.5" thickBot="1" x14ac:dyDescent="0.25">
      <c r="B18" s="1" t="s">
        <v>16</v>
      </c>
      <c r="C18" s="3">
        <v>64</v>
      </c>
      <c r="E18" s="17"/>
      <c r="F18" s="18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溫度</vt:lpstr>
      <vt:lpstr>A2</vt:lpstr>
      <vt:lpstr>A3</vt:lpstr>
      <vt:lpstr>A4</vt:lpstr>
      <vt:lpstr>B2</vt:lpstr>
      <vt:lpstr>B3</vt:lpstr>
      <vt:lpstr>B4</vt:lpstr>
      <vt:lpstr>養樂多空白</vt:lpstr>
      <vt:lpstr>養樂多30</vt:lpstr>
      <vt:lpstr>養樂多40</vt:lpstr>
      <vt:lpstr>養樂多50</vt:lpstr>
      <vt:lpstr>養樂多60</vt:lpstr>
      <vt:lpstr>養樂多70</vt:lpstr>
      <vt:lpstr>養樂多80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2026-10-06T09:13:52Z</dcterms:modified>
</cp:coreProperties>
</file>