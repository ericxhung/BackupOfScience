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"/>
    </mc:Choice>
  </mc:AlternateContent>
  <xr:revisionPtr revIDLastSave="0" documentId="13_ncr:1_{DDCD349F-5948-4088-AADD-0832E7B67DF9}" xr6:coauthVersionLast="47" xr6:coauthVersionMax="47" xr10:uidLastSave="{00000000-0000-0000-0000-000000000000}"/>
  <bookViews>
    <workbookView xWindow="-120" yWindow="-120" windowWidth="20730" windowHeight="11160" tabRatio="795" activeTab="8" xr2:uid="{00000000-000D-0000-FFFF-FFFF00000000}"/>
  </bookViews>
  <sheets>
    <sheet name="溫度" sheetId="36" r:id="rId1"/>
    <sheet name="A2" sheetId="37" r:id="rId2"/>
    <sheet name="A3" sheetId="38" r:id="rId3"/>
    <sheet name="A4" sheetId="39" r:id="rId4"/>
    <sheet name="B2" sheetId="40" r:id="rId5"/>
    <sheet name="B3" sheetId="41" r:id="rId6"/>
    <sheet name="B4" sheetId="42" r:id="rId7"/>
    <sheet name="紙杯 60" sheetId="43" r:id="rId8"/>
    <sheet name="紙杯 40" sheetId="44" r:id="rId9"/>
    <sheet name="PLXDAQ_new_Settings" sheetId="6" state="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44" l="1"/>
  <c r="I3" i="44" s="1"/>
  <c r="I2" i="43"/>
  <c r="I3" i="43" s="1"/>
  <c r="I2" i="41"/>
  <c r="I3" i="41" s="1"/>
  <c r="I2" i="42"/>
  <c r="I3" i="42" s="1"/>
  <c r="I2" i="40"/>
  <c r="I3" i="40" s="1"/>
  <c r="I2" i="39"/>
  <c r="I3" i="39" s="1"/>
  <c r="I2" i="38"/>
  <c r="I3" i="38" s="1"/>
  <c r="I3" i="37"/>
  <c r="I2" i="37"/>
</calcChain>
</file>

<file path=xl/sharedStrings.xml><?xml version="1.0" encoding="utf-8"?>
<sst xmlns="http://schemas.openxmlformats.org/spreadsheetml/2006/main" count="561" uniqueCount="42">
  <si>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</si>
  <si>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</si>
  <si>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</si>
  <si>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</si>
  <si>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</si>
  <si>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</si>
  <si>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</si>
  <si>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</si>
  <si>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</si>
  <si>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</si>
  <si>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</si>
  <si>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</si>
  <si>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</si>
  <si>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</si>
  <si>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</si>
  <si>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</si>
  <si>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</si>
  <si>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</si>
  <si>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</si>
  <si>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</si>
  <si>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</si>
  <si>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</si>
  <si>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</si>
  <si>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</si>
  <si>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</si>
  <si>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27.00 C</t>
  </si>
  <si>
    <t>NULL</t>
  </si>
  <si>
    <t>Error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</si>
  <si>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</si>
  <si>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</si>
  <si>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</si>
  <si>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</si>
  <si>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</si>
  <si>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</si>
  <si>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</si>
  <si>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</si>
  <si>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27.00 C</t>
    <phoneticPr fontId="4" type="noConversion"/>
  </si>
  <si>
    <t>NULL</t>
    <phoneticPr fontId="4" type="noConversion"/>
  </si>
  <si>
    <t>Error</t>
    <phoneticPr fontId="4" type="noConversion"/>
  </si>
  <si>
    <t>28.00 C</t>
  </si>
  <si>
    <t>28.00 C</t>
    <phoneticPr fontId="4" type="noConversion"/>
  </si>
  <si>
    <t>紙杯 40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</si>
</sst>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H4" sqref="H4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46289</v>
      </c>
      <c r="B2" s="9">
        <v>0.5499074074074074</v>
      </c>
      <c r="C2" s="6">
        <v>1.855469</v>
      </c>
      <c r="D2" s="4">
        <v>4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46289</v>
      </c>
      <c r="B3" s="9">
        <v>0.54991898148148144</v>
      </c>
      <c r="C3" s="6">
        <v>2.2617189999999998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46289</v>
      </c>
      <c r="B4" s="9">
        <v>0.54991898148148144</v>
      </c>
      <c r="C4" s="6">
        <v>2.7617189999999998</v>
      </c>
      <c r="D4" s="4">
        <v>0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46289</v>
      </c>
      <c r="B5" s="9">
        <v>0.54993055555555559</v>
      </c>
      <c r="C5" s="6">
        <v>3.2890630000000001</v>
      </c>
      <c r="D5" s="4">
        <v>2</v>
      </c>
      <c r="E5" s="4" t="s">
        <v>25</v>
      </c>
      <c r="F5" s="10">
        <v>0.61</v>
      </c>
      <c r="G5" s="4" t="s">
        <v>26</v>
      </c>
    </row>
    <row r="6" spans="1:7" x14ac:dyDescent="0.2">
      <c r="A6" s="8">
        <v>46289</v>
      </c>
      <c r="B6" s="9">
        <v>0.54993055555555559</v>
      </c>
      <c r="C6" s="6">
        <v>3.8085939999999998</v>
      </c>
      <c r="D6" s="4">
        <v>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46289</v>
      </c>
      <c r="B7" s="9">
        <v>0.54994212962962963</v>
      </c>
      <c r="C7" s="6">
        <v>4.3085940000000003</v>
      </c>
      <c r="D7" s="4">
        <v>2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46289</v>
      </c>
      <c r="B8" s="9">
        <v>0.54994212962962963</v>
      </c>
      <c r="C8" s="6">
        <v>4.8085940000000003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46289</v>
      </c>
      <c r="B9" s="9">
        <v>0.54995370370370367</v>
      </c>
      <c r="C9" s="6">
        <v>5.3085940000000003</v>
      </c>
      <c r="D9" s="4">
        <v>4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46289</v>
      </c>
      <c r="B10" s="9">
        <v>0.54995370370370367</v>
      </c>
      <c r="C10" s="6">
        <v>5.828125</v>
      </c>
      <c r="D10" s="4">
        <v>0</v>
      </c>
      <c r="E10" s="4" t="s">
        <v>25</v>
      </c>
      <c r="F10" s="10">
        <v>0.61</v>
      </c>
      <c r="G10" s="4" t="s">
        <v>26</v>
      </c>
    </row>
    <row r="11" spans="1:7" x14ac:dyDescent="0.2">
      <c r="A11" s="8">
        <v>46289</v>
      </c>
      <c r="B11" s="9">
        <v>0.54996527777777782</v>
      </c>
      <c r="C11" s="6">
        <v>6.34375</v>
      </c>
      <c r="D11" s="4">
        <v>1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46289</v>
      </c>
      <c r="B12" s="9">
        <v>0.54996527777777782</v>
      </c>
      <c r="C12" s="6">
        <v>6.8515629999999996</v>
      </c>
      <c r="D12" s="4">
        <v>0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46289</v>
      </c>
      <c r="B13" s="9">
        <v>0.54997685185185186</v>
      </c>
      <c r="C13" s="6">
        <v>7.3515629999999996</v>
      </c>
      <c r="D13" s="4">
        <v>2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46289</v>
      </c>
      <c r="B14" s="9">
        <v>0.54997685185185186</v>
      </c>
      <c r="C14" s="6">
        <v>7.8515629999999996</v>
      </c>
      <c r="D14" s="4">
        <v>1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46289</v>
      </c>
      <c r="B15" s="9">
        <v>0.54998842592592589</v>
      </c>
      <c r="C15" s="6">
        <v>8.3710939999999994</v>
      </c>
      <c r="D15" s="4">
        <v>3</v>
      </c>
      <c r="E15" s="4" t="s">
        <v>25</v>
      </c>
      <c r="F15" s="10">
        <v>0.61</v>
      </c>
      <c r="G15" s="4" t="s">
        <v>26</v>
      </c>
    </row>
    <row r="16" spans="1:7" x14ac:dyDescent="0.2">
      <c r="A16" s="8">
        <v>46289</v>
      </c>
      <c r="B16" s="9">
        <v>0.54998842592592589</v>
      </c>
      <c r="C16" s="6">
        <v>8.890625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0.55000000000000004</v>
      </c>
      <c r="C17" s="6">
        <v>9.3945310000000006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0.55000000000000004</v>
      </c>
      <c r="C18" s="6">
        <v>9.8945310000000006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0.55001157407407408</v>
      </c>
      <c r="C19" s="6">
        <v>10.38672</v>
      </c>
      <c r="D19" s="4">
        <v>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46289</v>
      </c>
      <c r="B20" s="9">
        <v>0.55002314814814812</v>
      </c>
      <c r="C20" s="6">
        <v>11.410159999999999</v>
      </c>
      <c r="D20" s="4">
        <v>2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46289</v>
      </c>
      <c r="B21" s="9">
        <v>0.55002314814814812</v>
      </c>
      <c r="C21" s="6">
        <v>11.92578</v>
      </c>
      <c r="D21" s="4">
        <v>0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58971-E1C5-4457-AA85-F8C0667076EA}">
  <dimension ref="A1:I21"/>
  <sheetViews>
    <sheetView workbookViewId="0">
      <selection activeCell="I3" sqref="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46289</v>
      </c>
      <c r="B2" s="9">
        <v>0.55644675925925924</v>
      </c>
      <c r="C2" s="6">
        <v>1.8125</v>
      </c>
      <c r="D2" s="4">
        <v>806</v>
      </c>
      <c r="E2" s="4" t="s">
        <v>24</v>
      </c>
      <c r="F2" s="4" t="s">
        <v>24</v>
      </c>
      <c r="G2" s="4" t="s">
        <v>24</v>
      </c>
      <c r="I2">
        <f>AVERAGE(D2:D21)</f>
        <v>808.2</v>
      </c>
    </row>
    <row r="3" spans="1:9" x14ac:dyDescent="0.2">
      <c r="A3" s="8">
        <v>46289</v>
      </c>
      <c r="B3" s="9">
        <v>0.55644675925925924</v>
      </c>
      <c r="C3" s="6">
        <v>2.28125</v>
      </c>
      <c r="D3" s="4">
        <v>807</v>
      </c>
      <c r="E3" s="4" t="s">
        <v>24</v>
      </c>
      <c r="F3" s="4" t="s">
        <v>24</v>
      </c>
      <c r="G3" s="4" t="s">
        <v>24</v>
      </c>
      <c r="I3">
        <f>91*(1023-I2)/I2</f>
        <v>24.1855976243504</v>
      </c>
    </row>
    <row r="4" spans="1:9" x14ac:dyDescent="0.2">
      <c r="A4" s="8">
        <v>46289</v>
      </c>
      <c r="B4" s="9">
        <v>0.55645833333333339</v>
      </c>
      <c r="C4" s="6">
        <v>2.78125</v>
      </c>
      <c r="D4" s="4">
        <v>806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46289</v>
      </c>
      <c r="B5" s="9">
        <v>0.55646990740740743</v>
      </c>
      <c r="C5" s="6">
        <v>3.796875</v>
      </c>
      <c r="D5" s="4">
        <v>806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46289</v>
      </c>
      <c r="B6" s="9">
        <v>0.55646990740740743</v>
      </c>
      <c r="C6" s="6">
        <v>4.328125</v>
      </c>
      <c r="D6" s="4">
        <v>808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46289</v>
      </c>
      <c r="B7" s="9">
        <v>0.55648148148148147</v>
      </c>
      <c r="C7" s="6">
        <v>4.859375</v>
      </c>
      <c r="D7" s="4">
        <v>807</v>
      </c>
      <c r="E7" s="4" t="s">
        <v>25</v>
      </c>
      <c r="F7" s="10">
        <v>0.63</v>
      </c>
      <c r="G7" s="4" t="s">
        <v>26</v>
      </c>
    </row>
    <row r="8" spans="1:9" x14ac:dyDescent="0.2">
      <c r="A8" s="8">
        <v>46289</v>
      </c>
      <c r="B8" s="9">
        <v>0.55648148148148147</v>
      </c>
      <c r="C8" s="6">
        <v>5.390625</v>
      </c>
      <c r="D8" s="4">
        <v>809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46289</v>
      </c>
      <c r="B9" s="9">
        <v>0.5564930555555555</v>
      </c>
      <c r="C9" s="6">
        <v>5.890625</v>
      </c>
      <c r="D9" s="4">
        <v>806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46289</v>
      </c>
      <c r="B10" s="9">
        <v>0.5564930555555555</v>
      </c>
      <c r="C10" s="6">
        <v>6.390625</v>
      </c>
      <c r="D10" s="4">
        <v>807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46289</v>
      </c>
      <c r="B11" s="9">
        <v>0.55650462962962965</v>
      </c>
      <c r="C11" s="6">
        <v>6.890625</v>
      </c>
      <c r="D11" s="4">
        <v>808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46289</v>
      </c>
      <c r="B12" s="9">
        <v>0.55650462962962965</v>
      </c>
      <c r="C12" s="6">
        <v>7.40625</v>
      </c>
      <c r="D12" s="4">
        <v>810</v>
      </c>
      <c r="E12" s="4" t="s">
        <v>27</v>
      </c>
      <c r="F12" s="4" t="s">
        <v>27</v>
      </c>
      <c r="G12" s="4">
        <v>21</v>
      </c>
    </row>
    <row r="13" spans="1:9" x14ac:dyDescent="0.2">
      <c r="A13" s="8">
        <v>46289</v>
      </c>
      <c r="B13" s="9">
        <v>0.55651620370370369</v>
      </c>
      <c r="C13" s="6">
        <v>7.9375</v>
      </c>
      <c r="D13" s="4">
        <v>807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46289</v>
      </c>
      <c r="B14" s="9">
        <v>0.55651620370370369</v>
      </c>
      <c r="C14" s="6">
        <v>8.453125</v>
      </c>
      <c r="D14" s="4">
        <v>808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46289</v>
      </c>
      <c r="B15" s="9">
        <v>0.55652777777777773</v>
      </c>
      <c r="C15" s="6">
        <v>9</v>
      </c>
      <c r="D15" s="4">
        <v>809</v>
      </c>
      <c r="E15" s="4" t="s">
        <v>25</v>
      </c>
      <c r="F15" s="10">
        <v>0.63</v>
      </c>
      <c r="G15" s="4" t="s">
        <v>26</v>
      </c>
    </row>
    <row r="16" spans="1:9" x14ac:dyDescent="0.2">
      <c r="A16" s="8">
        <v>46289</v>
      </c>
      <c r="B16" s="9">
        <v>0.55652777777777773</v>
      </c>
      <c r="C16" s="6">
        <v>9.515625</v>
      </c>
      <c r="D16" s="4">
        <v>810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0.55653935185185188</v>
      </c>
      <c r="C17" s="6">
        <v>10.01563</v>
      </c>
      <c r="D17" s="4">
        <v>809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0.55653935185185188</v>
      </c>
      <c r="C18" s="6">
        <v>10.51563</v>
      </c>
      <c r="D18" s="4">
        <v>809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0.55655092592592592</v>
      </c>
      <c r="C19" s="6">
        <v>11.01563</v>
      </c>
      <c r="D19" s="4">
        <v>810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46289</v>
      </c>
      <c r="B20" s="9">
        <v>0.55655092592592592</v>
      </c>
      <c r="C20" s="6">
        <v>11.53125</v>
      </c>
      <c r="D20" s="4">
        <v>811</v>
      </c>
      <c r="E20" s="4" t="s">
        <v>25</v>
      </c>
      <c r="F20" s="10">
        <v>0.63</v>
      </c>
      <c r="G20" s="4" t="s">
        <v>26</v>
      </c>
    </row>
    <row r="21" spans="1:7" x14ac:dyDescent="0.2">
      <c r="A21" s="8">
        <v>46289</v>
      </c>
      <c r="B21" s="9">
        <v>0.55656249999999996</v>
      </c>
      <c r="C21" s="6">
        <v>12.0625</v>
      </c>
      <c r="D21" s="4">
        <v>811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C6CE4-5C4F-4FA2-AEAE-A16D67017483}">
  <dimension ref="A1:I21"/>
  <sheetViews>
    <sheetView workbookViewId="0">
      <selection activeCell="I3" sqref="I3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46289</v>
      </c>
      <c r="B2" s="9">
        <v>0.55790509259259258</v>
      </c>
      <c r="C2" s="6">
        <v>1.8046880000000001</v>
      </c>
      <c r="D2" s="4">
        <v>799</v>
      </c>
      <c r="E2" s="4" t="s">
        <v>35</v>
      </c>
      <c r="F2" s="4" t="s">
        <v>35</v>
      </c>
      <c r="G2" s="4" t="s">
        <v>35</v>
      </c>
      <c r="I2">
        <f>AVERAGE(D2:D21)</f>
        <v>799.9</v>
      </c>
    </row>
    <row r="3" spans="1:9" x14ac:dyDescent="0.2">
      <c r="A3" s="8">
        <v>46289</v>
      </c>
      <c r="B3" s="9">
        <v>0.55791666666666662</v>
      </c>
      <c r="C3" s="6">
        <v>2.2695310000000002</v>
      </c>
      <c r="D3" s="4">
        <v>798</v>
      </c>
      <c r="E3" s="4" t="s">
        <v>35</v>
      </c>
      <c r="F3" s="4" t="s">
        <v>35</v>
      </c>
      <c r="G3" s="4" t="s">
        <v>35</v>
      </c>
      <c r="I3">
        <f>91*(1023-I2)/I2</f>
        <v>25.380797599699967</v>
      </c>
    </row>
    <row r="4" spans="1:9" x14ac:dyDescent="0.2">
      <c r="A4" s="8">
        <v>46289</v>
      </c>
      <c r="B4" s="9">
        <v>0.55791666666666662</v>
      </c>
      <c r="C4" s="6">
        <v>2.7695310000000002</v>
      </c>
      <c r="D4" s="4">
        <v>799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46289</v>
      </c>
      <c r="B5" s="9">
        <v>0.55792824074074077</v>
      </c>
      <c r="C5" s="6">
        <v>3.2890630000000001</v>
      </c>
      <c r="D5" s="4">
        <v>800</v>
      </c>
      <c r="E5" s="4" t="s">
        <v>36</v>
      </c>
      <c r="F5" s="10">
        <v>0.63</v>
      </c>
      <c r="G5" s="4" t="s">
        <v>37</v>
      </c>
    </row>
    <row r="6" spans="1:9" x14ac:dyDescent="0.2">
      <c r="A6" s="8">
        <v>46289</v>
      </c>
      <c r="B6" s="9">
        <v>0.55792824074074077</v>
      </c>
      <c r="C6" s="6">
        <v>3.8203130000000001</v>
      </c>
      <c r="D6" s="4">
        <v>799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46289</v>
      </c>
      <c r="B7" s="9">
        <v>0.55793981481481481</v>
      </c>
      <c r="C7" s="6">
        <v>4.3203129999999996</v>
      </c>
      <c r="D7" s="4">
        <v>798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46289</v>
      </c>
      <c r="B8" s="9">
        <v>0.55793981481481481</v>
      </c>
      <c r="C8" s="6">
        <v>4.8203129999999996</v>
      </c>
      <c r="D8" s="4">
        <v>799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46289</v>
      </c>
      <c r="B9" s="9">
        <v>0.55795138888888884</v>
      </c>
      <c r="C9" s="6">
        <v>5.3203129999999996</v>
      </c>
      <c r="D9" s="4">
        <v>798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46289</v>
      </c>
      <c r="B10" s="9">
        <v>0.55795138888888884</v>
      </c>
      <c r="C10" s="6">
        <v>5.8320309999999997</v>
      </c>
      <c r="D10" s="4">
        <v>799</v>
      </c>
      <c r="E10" s="4" t="s">
        <v>36</v>
      </c>
      <c r="F10" s="10">
        <v>0.63</v>
      </c>
      <c r="G10" s="4" t="s">
        <v>37</v>
      </c>
    </row>
    <row r="11" spans="1:9" x14ac:dyDescent="0.2">
      <c r="A11" s="8">
        <v>46289</v>
      </c>
      <c r="B11" s="9">
        <v>0.55796296296296299</v>
      </c>
      <c r="C11" s="6">
        <v>6.3632809999999997</v>
      </c>
      <c r="D11" s="4">
        <v>801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46289</v>
      </c>
      <c r="B12" s="9">
        <v>0.55796296296296299</v>
      </c>
      <c r="C12" s="6">
        <v>6.8632809999999997</v>
      </c>
      <c r="D12" s="4">
        <v>800</v>
      </c>
      <c r="E12" s="4" t="s">
        <v>35</v>
      </c>
      <c r="F12" s="4" t="s">
        <v>35</v>
      </c>
      <c r="G12" s="4" t="s">
        <v>35</v>
      </c>
    </row>
    <row r="13" spans="1:9" x14ac:dyDescent="0.2">
      <c r="A13" s="8">
        <v>46289</v>
      </c>
      <c r="B13" s="9">
        <v>0.55797453703703703</v>
      </c>
      <c r="C13" s="6">
        <v>7.3632809999999997</v>
      </c>
      <c r="D13" s="4">
        <v>801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46289</v>
      </c>
      <c r="B14" s="9">
        <v>0.55797453703703703</v>
      </c>
      <c r="C14" s="6">
        <v>7.8632809999999997</v>
      </c>
      <c r="D14" s="4">
        <v>802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46289</v>
      </c>
      <c r="B15" s="9">
        <v>0.55798611111111107</v>
      </c>
      <c r="C15" s="6">
        <v>8.3789060000000006</v>
      </c>
      <c r="D15" s="4">
        <v>801</v>
      </c>
      <c r="E15" s="4" t="s">
        <v>38</v>
      </c>
      <c r="F15" s="10" t="s">
        <v>27</v>
      </c>
      <c r="G15" s="4">
        <v>21</v>
      </c>
    </row>
    <row r="16" spans="1:9" x14ac:dyDescent="0.2">
      <c r="A16" s="8">
        <v>46289</v>
      </c>
      <c r="B16" s="9">
        <v>0.55798611111111107</v>
      </c>
      <c r="C16" s="6">
        <v>8.9101560000000006</v>
      </c>
      <c r="D16" s="4">
        <v>801</v>
      </c>
      <c r="E16" s="4" t="s">
        <v>38</v>
      </c>
      <c r="F16" s="4" t="s">
        <v>38</v>
      </c>
      <c r="G16" s="4">
        <v>4112</v>
      </c>
    </row>
    <row r="17" spans="1:7" x14ac:dyDescent="0.2">
      <c r="A17" s="8">
        <v>46289</v>
      </c>
      <c r="B17" s="9">
        <v>0.55799768518518522</v>
      </c>
      <c r="C17" s="6">
        <v>9.4257810000000006</v>
      </c>
      <c r="D17" s="4">
        <v>800</v>
      </c>
      <c r="E17" s="4" t="s">
        <v>38</v>
      </c>
      <c r="F17" s="4" t="s">
        <v>38</v>
      </c>
      <c r="G17" s="4">
        <v>4112</v>
      </c>
    </row>
    <row r="18" spans="1:7" x14ac:dyDescent="0.2">
      <c r="A18" s="8">
        <v>46289</v>
      </c>
      <c r="B18" s="9">
        <v>0.55799768518518522</v>
      </c>
      <c r="C18" s="6">
        <v>9.9570310000000006</v>
      </c>
      <c r="D18" s="4">
        <v>799</v>
      </c>
      <c r="E18" s="4" t="s">
        <v>36</v>
      </c>
      <c r="F18" s="10">
        <v>0.63</v>
      </c>
      <c r="G18" s="4" t="s">
        <v>37</v>
      </c>
    </row>
    <row r="19" spans="1:7" x14ac:dyDescent="0.2">
      <c r="A19" s="8">
        <v>46289</v>
      </c>
      <c r="B19" s="9">
        <v>0.55800925925925926</v>
      </c>
      <c r="C19" s="6">
        <v>10.48828</v>
      </c>
      <c r="D19" s="4">
        <v>800</v>
      </c>
      <c r="E19" s="4" t="s">
        <v>35</v>
      </c>
      <c r="F19" s="4" t="s">
        <v>35</v>
      </c>
      <c r="G19" s="4" t="s">
        <v>35</v>
      </c>
    </row>
    <row r="20" spans="1:7" x14ac:dyDescent="0.2">
      <c r="A20" s="8">
        <v>46289</v>
      </c>
      <c r="B20" s="9">
        <v>0.55800925925925926</v>
      </c>
      <c r="C20" s="6">
        <v>10.98828</v>
      </c>
      <c r="D20" s="4">
        <v>802</v>
      </c>
      <c r="E20" s="4" t="s">
        <v>35</v>
      </c>
      <c r="F20" s="10" t="s">
        <v>24</v>
      </c>
      <c r="G20" s="4" t="s">
        <v>35</v>
      </c>
    </row>
    <row r="21" spans="1:7" x14ac:dyDescent="0.2">
      <c r="A21" s="8">
        <v>46289</v>
      </c>
      <c r="B21" s="9">
        <v>0.5580208333333333</v>
      </c>
      <c r="C21" s="6">
        <v>11.48828</v>
      </c>
      <c r="D21" s="4">
        <v>802</v>
      </c>
      <c r="E21" s="4" t="s">
        <v>35</v>
      </c>
      <c r="F21" s="4" t="s">
        <v>35</v>
      </c>
      <c r="G21" s="4" t="s">
        <v>35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355A7-3B8A-4EE3-8325-9D3461A7E3BE}">
  <dimension ref="A1:I21"/>
  <sheetViews>
    <sheetView workbookViewId="0">
      <selection activeCell="I3" sqref="I3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46289</v>
      </c>
      <c r="B2" s="9">
        <v>0.56458333333333333</v>
      </c>
      <c r="C2" s="6">
        <v>1.832031</v>
      </c>
      <c r="D2" s="4">
        <v>803</v>
      </c>
      <c r="E2" s="4" t="s">
        <v>35</v>
      </c>
      <c r="F2" s="4" t="s">
        <v>35</v>
      </c>
      <c r="G2" s="4" t="s">
        <v>35</v>
      </c>
      <c r="I2">
        <f>AVERAGE(D2:D21)</f>
        <v>803.8</v>
      </c>
    </row>
    <row r="3" spans="1:9" x14ac:dyDescent="0.2">
      <c r="A3" s="8">
        <v>46289</v>
      </c>
      <c r="B3" s="9">
        <v>0.56458333333333333</v>
      </c>
      <c r="C3" s="6">
        <v>2.28125</v>
      </c>
      <c r="D3" s="4">
        <v>804</v>
      </c>
      <c r="E3" s="4" t="s">
        <v>35</v>
      </c>
      <c r="F3" s="4" t="s">
        <v>35</v>
      </c>
      <c r="G3" s="4" t="s">
        <v>35</v>
      </c>
      <c r="I3">
        <f>91*(1023-I2)/I2</f>
        <v>24.816123413784531</v>
      </c>
    </row>
    <row r="4" spans="1:9" x14ac:dyDescent="0.2">
      <c r="A4" s="8">
        <v>46289</v>
      </c>
      <c r="B4" s="9">
        <v>0.56459490740740736</v>
      </c>
      <c r="C4" s="6">
        <v>2.7890630000000001</v>
      </c>
      <c r="D4" s="4">
        <v>803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46289</v>
      </c>
      <c r="B5" s="9">
        <v>0.56459490740740736</v>
      </c>
      <c r="C5" s="6">
        <v>3.3046880000000001</v>
      </c>
      <c r="D5" s="4">
        <v>804</v>
      </c>
      <c r="E5" s="4" t="s">
        <v>40</v>
      </c>
      <c r="F5" s="10">
        <v>0.65</v>
      </c>
      <c r="G5" s="4" t="s">
        <v>37</v>
      </c>
    </row>
    <row r="6" spans="1:9" x14ac:dyDescent="0.2">
      <c r="A6" s="8">
        <v>46289</v>
      </c>
      <c r="B6" s="9">
        <v>0.56460648148148151</v>
      </c>
      <c r="C6" s="6">
        <v>3.8242189999999998</v>
      </c>
      <c r="D6" s="4">
        <v>804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46289</v>
      </c>
      <c r="B7" s="9">
        <v>0.56460648148148151</v>
      </c>
      <c r="C7" s="6">
        <v>4.3242190000000003</v>
      </c>
      <c r="D7" s="4">
        <v>805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46289</v>
      </c>
      <c r="B8" s="9">
        <v>0.56461805555555555</v>
      </c>
      <c r="C8" s="6">
        <v>4.8320309999999997</v>
      </c>
      <c r="D8" s="4">
        <v>805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46289</v>
      </c>
      <c r="B9" s="9">
        <v>0.56461805555555555</v>
      </c>
      <c r="C9" s="6">
        <v>5.3242190000000003</v>
      </c>
      <c r="D9" s="4">
        <v>805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46289</v>
      </c>
      <c r="B10" s="9">
        <v>0.56462962962962959</v>
      </c>
      <c r="C10" s="6">
        <v>6.3515629999999996</v>
      </c>
      <c r="D10" s="4">
        <v>803</v>
      </c>
      <c r="E10" s="4" t="s">
        <v>38</v>
      </c>
      <c r="F10" s="4" t="s">
        <v>38</v>
      </c>
      <c r="G10" s="4">
        <v>-237</v>
      </c>
    </row>
    <row r="11" spans="1:9" x14ac:dyDescent="0.2">
      <c r="A11" s="8">
        <v>46289</v>
      </c>
      <c r="B11" s="9">
        <v>0.56464120370370374</v>
      </c>
      <c r="C11" s="6">
        <v>6.8671879999999996</v>
      </c>
      <c r="D11" s="4">
        <v>804</v>
      </c>
      <c r="E11" s="4" t="s">
        <v>38</v>
      </c>
      <c r="F11" s="4" t="s">
        <v>38</v>
      </c>
      <c r="G11" s="4">
        <v>4112</v>
      </c>
    </row>
    <row r="12" spans="1:9" x14ac:dyDescent="0.2">
      <c r="A12" s="8">
        <v>46289</v>
      </c>
      <c r="B12" s="9">
        <v>0.56465277777777778</v>
      </c>
      <c r="C12" s="6">
        <v>7.9140629999999996</v>
      </c>
      <c r="D12" s="4">
        <v>803</v>
      </c>
      <c r="E12" s="4" t="s">
        <v>38</v>
      </c>
      <c r="F12" s="4" t="s">
        <v>38</v>
      </c>
      <c r="G12" s="4">
        <v>-237</v>
      </c>
    </row>
    <row r="13" spans="1:9" x14ac:dyDescent="0.2">
      <c r="A13" s="8">
        <v>46289</v>
      </c>
      <c r="B13" s="9">
        <v>0.56465277777777778</v>
      </c>
      <c r="C13" s="6">
        <v>8.4296880000000005</v>
      </c>
      <c r="D13" s="4">
        <v>805</v>
      </c>
      <c r="E13" s="4" t="s">
        <v>38</v>
      </c>
      <c r="F13" s="4" t="s">
        <v>38</v>
      </c>
      <c r="G13" s="4">
        <v>4112</v>
      </c>
    </row>
    <row r="14" spans="1:9" x14ac:dyDescent="0.2">
      <c r="A14" s="8">
        <v>46289</v>
      </c>
      <c r="B14" s="9">
        <v>0.56466435185185182</v>
      </c>
      <c r="C14" s="6">
        <v>8.9609380000000005</v>
      </c>
      <c r="D14" s="4">
        <v>803</v>
      </c>
      <c r="E14" s="4" t="s">
        <v>40</v>
      </c>
      <c r="F14" s="10">
        <v>0.64</v>
      </c>
      <c r="G14" s="4" t="s">
        <v>26</v>
      </c>
    </row>
    <row r="15" spans="1:9" x14ac:dyDescent="0.2">
      <c r="A15" s="8">
        <v>46289</v>
      </c>
      <c r="B15" s="9">
        <v>0.56466435185185182</v>
      </c>
      <c r="C15" s="6">
        <v>9.4921880000000005</v>
      </c>
      <c r="D15" s="4">
        <v>802</v>
      </c>
      <c r="E15" s="4" t="s">
        <v>35</v>
      </c>
      <c r="F15" s="4" t="s">
        <v>35</v>
      </c>
      <c r="G15" s="4" t="s">
        <v>24</v>
      </c>
    </row>
    <row r="16" spans="1:9" x14ac:dyDescent="0.2">
      <c r="A16" s="8">
        <v>46289</v>
      </c>
      <c r="B16" s="9">
        <v>0.56467592592592597</v>
      </c>
      <c r="C16" s="6">
        <v>9.9921880000000005</v>
      </c>
      <c r="D16" s="4">
        <v>804</v>
      </c>
      <c r="E16" s="4" t="s">
        <v>35</v>
      </c>
      <c r="F16" s="10" t="s">
        <v>24</v>
      </c>
      <c r="G16" s="4" t="s">
        <v>35</v>
      </c>
    </row>
    <row r="17" spans="1:7" x14ac:dyDescent="0.2">
      <c r="A17" s="8">
        <v>46289</v>
      </c>
      <c r="B17" s="9">
        <v>0.56467592592592597</v>
      </c>
      <c r="C17" s="6">
        <v>10.492190000000001</v>
      </c>
      <c r="D17" s="4">
        <v>803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46289</v>
      </c>
      <c r="B18" s="9">
        <v>0.56468750000000001</v>
      </c>
      <c r="C18" s="6">
        <v>10.992190000000001</v>
      </c>
      <c r="D18" s="4">
        <v>805</v>
      </c>
      <c r="E18" s="4" t="s">
        <v>35</v>
      </c>
      <c r="F18" s="4" t="s">
        <v>35</v>
      </c>
      <c r="G18" s="4" t="s">
        <v>35</v>
      </c>
    </row>
    <row r="19" spans="1:7" x14ac:dyDescent="0.2">
      <c r="A19" s="8">
        <v>46289</v>
      </c>
      <c r="B19" s="9">
        <v>0.56468750000000001</v>
      </c>
      <c r="C19" s="6">
        <v>11.507809999999999</v>
      </c>
      <c r="D19" s="4">
        <v>803</v>
      </c>
      <c r="E19" s="4" t="s">
        <v>40</v>
      </c>
      <c r="F19" s="10">
        <v>0.64</v>
      </c>
      <c r="G19" s="4" t="s">
        <v>37</v>
      </c>
    </row>
    <row r="20" spans="1:7" x14ac:dyDescent="0.2">
      <c r="A20" s="8">
        <v>46289</v>
      </c>
      <c r="B20" s="9">
        <v>0.56469907407407405</v>
      </c>
      <c r="C20" s="6">
        <v>12.039059999999999</v>
      </c>
      <c r="D20" s="4">
        <v>804</v>
      </c>
      <c r="E20" s="4" t="s">
        <v>35</v>
      </c>
      <c r="F20" s="4" t="s">
        <v>35</v>
      </c>
      <c r="G20" s="4" t="s">
        <v>35</v>
      </c>
    </row>
    <row r="21" spans="1:7" x14ac:dyDescent="0.2">
      <c r="A21" s="8">
        <v>46289</v>
      </c>
      <c r="B21" s="9">
        <v>0.56469907407407405</v>
      </c>
      <c r="C21" s="6">
        <v>12.539059999999999</v>
      </c>
      <c r="D21" s="4">
        <v>804</v>
      </c>
      <c r="E21" s="4" t="s">
        <v>35</v>
      </c>
      <c r="F21" s="10" t="s">
        <v>24</v>
      </c>
      <c r="G21" s="4" t="s">
        <v>35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7424E-FC31-4BF2-94C0-3E39D3CCA75C}">
  <dimension ref="A1:I21"/>
  <sheetViews>
    <sheetView workbookViewId="0">
      <selection activeCell="I3" sqref="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46289</v>
      </c>
      <c r="B2" s="9">
        <v>0.56084490740740744</v>
      </c>
      <c r="C2" s="6">
        <v>1.8046880000000001</v>
      </c>
      <c r="D2" s="4">
        <v>794</v>
      </c>
      <c r="E2" s="4" t="s">
        <v>35</v>
      </c>
      <c r="F2" s="4" t="s">
        <v>35</v>
      </c>
      <c r="G2" s="4" t="s">
        <v>35</v>
      </c>
      <c r="I2">
        <f>AVERAGE(D2:D21)</f>
        <v>790.2</v>
      </c>
    </row>
    <row r="3" spans="1:9" x14ac:dyDescent="0.2">
      <c r="A3" s="8">
        <v>46289</v>
      </c>
      <c r="B3" s="9">
        <v>0.56085648148148148</v>
      </c>
      <c r="C3" s="6">
        <v>2.28125</v>
      </c>
      <c r="D3" s="4">
        <v>792</v>
      </c>
      <c r="E3" s="4" t="s">
        <v>35</v>
      </c>
      <c r="F3" s="4" t="s">
        <v>35</v>
      </c>
      <c r="G3" s="4" t="s">
        <v>35</v>
      </c>
      <c r="I3">
        <f>91*(1023-I2)/I2</f>
        <v>26.809415337889135</v>
      </c>
    </row>
    <row r="4" spans="1:9" x14ac:dyDescent="0.2">
      <c r="A4" s="8">
        <v>46289</v>
      </c>
      <c r="B4" s="9">
        <v>0.56085648148148148</v>
      </c>
      <c r="C4" s="6">
        <v>2.7851560000000002</v>
      </c>
      <c r="D4" s="4">
        <v>794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46289</v>
      </c>
      <c r="B5" s="9">
        <v>0.56086805555555552</v>
      </c>
      <c r="C5" s="6">
        <v>3.3007810000000002</v>
      </c>
      <c r="D5" s="4">
        <v>792</v>
      </c>
      <c r="E5" s="4" t="s">
        <v>36</v>
      </c>
      <c r="F5" s="10">
        <v>0.68</v>
      </c>
      <c r="G5" s="4" t="s">
        <v>37</v>
      </c>
    </row>
    <row r="6" spans="1:9" x14ac:dyDescent="0.2">
      <c r="A6" s="8">
        <v>46289</v>
      </c>
      <c r="B6" s="9">
        <v>0.56086805555555552</v>
      </c>
      <c r="C6" s="6">
        <v>3.8242189999999998</v>
      </c>
      <c r="D6" s="4">
        <v>791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46289</v>
      </c>
      <c r="B7" s="9">
        <v>0.56087962962962967</v>
      </c>
      <c r="C7" s="6">
        <v>4.3242190000000003</v>
      </c>
      <c r="D7" s="4">
        <v>794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46289</v>
      </c>
      <c r="B8" s="9">
        <v>0.56087962962962967</v>
      </c>
      <c r="C8" s="6">
        <v>4.8242190000000003</v>
      </c>
      <c r="D8" s="4">
        <v>791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46289</v>
      </c>
      <c r="B9" s="9">
        <v>0.56089120370370371</v>
      </c>
      <c r="C9" s="6">
        <v>5.3242190000000003</v>
      </c>
      <c r="D9" s="4">
        <v>789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46289</v>
      </c>
      <c r="B10" s="9">
        <v>0.56090277777777775</v>
      </c>
      <c r="C10" s="6">
        <v>6.3398440000000003</v>
      </c>
      <c r="D10" s="4">
        <v>790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46289</v>
      </c>
      <c r="B11" s="9">
        <v>0.56090277777777775</v>
      </c>
      <c r="C11" s="6">
        <v>6.8671879999999996</v>
      </c>
      <c r="D11" s="4">
        <v>789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46289</v>
      </c>
      <c r="B12" s="9">
        <v>0.5609143518518519</v>
      </c>
      <c r="C12" s="6">
        <v>7.9023440000000003</v>
      </c>
      <c r="D12" s="4">
        <v>788</v>
      </c>
      <c r="E12" s="4" t="s">
        <v>27</v>
      </c>
      <c r="F12" s="4" t="s">
        <v>27</v>
      </c>
      <c r="G12" s="4">
        <v>-237</v>
      </c>
    </row>
    <row r="13" spans="1:9" x14ac:dyDescent="0.2">
      <c r="A13" s="8">
        <v>46289</v>
      </c>
      <c r="B13" s="9">
        <v>0.56092592592592594</v>
      </c>
      <c r="C13" s="6">
        <v>8.4296880000000005</v>
      </c>
      <c r="D13" s="4">
        <v>789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46289</v>
      </c>
      <c r="B14" s="9">
        <v>0.56092592592592594</v>
      </c>
      <c r="C14" s="6">
        <v>8.9648439999999994</v>
      </c>
      <c r="D14" s="4">
        <v>789</v>
      </c>
      <c r="E14" s="4" t="s">
        <v>39</v>
      </c>
      <c r="F14" s="10">
        <v>0.68</v>
      </c>
      <c r="G14" s="4" t="s">
        <v>26</v>
      </c>
    </row>
    <row r="15" spans="1:9" x14ac:dyDescent="0.2">
      <c r="A15" s="8">
        <v>46289</v>
      </c>
      <c r="B15" s="9">
        <v>0.56093749999999998</v>
      </c>
      <c r="C15" s="6">
        <v>9.4882810000000006</v>
      </c>
      <c r="D15" s="4">
        <v>788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46289</v>
      </c>
      <c r="B16" s="9">
        <v>0.56093749999999998</v>
      </c>
      <c r="C16" s="6">
        <v>9.9882810000000006</v>
      </c>
      <c r="D16" s="4">
        <v>789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0.56094907407407413</v>
      </c>
      <c r="C17" s="6">
        <v>10.48828</v>
      </c>
      <c r="D17" s="4">
        <v>788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0.56094907407407413</v>
      </c>
      <c r="C18" s="6">
        <v>10.98828</v>
      </c>
      <c r="D18" s="4">
        <v>788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0.56096064814814817</v>
      </c>
      <c r="C19" s="6">
        <v>11.507809999999999</v>
      </c>
      <c r="D19" s="4">
        <v>791</v>
      </c>
      <c r="E19" s="4" t="s">
        <v>39</v>
      </c>
      <c r="F19" s="10">
        <v>0.68</v>
      </c>
      <c r="G19" s="4" t="s">
        <v>26</v>
      </c>
    </row>
    <row r="20" spans="1:7" x14ac:dyDescent="0.2">
      <c r="A20" s="8">
        <v>46289</v>
      </c>
      <c r="B20" s="9">
        <v>0.56096064814814817</v>
      </c>
      <c r="C20" s="6">
        <v>12.03125</v>
      </c>
      <c r="D20" s="4">
        <v>788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46289</v>
      </c>
      <c r="B21" s="9">
        <v>0.56097222222222221</v>
      </c>
      <c r="C21" s="6">
        <v>12.53125</v>
      </c>
      <c r="D21" s="4">
        <v>790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720B-51E0-4251-B257-F6A7B7D6CA48}">
  <dimension ref="A1:I21"/>
  <sheetViews>
    <sheetView workbookViewId="0">
      <selection activeCell="I3" sqref="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46289</v>
      </c>
      <c r="B2" s="9">
        <v>0.56192129629629628</v>
      </c>
      <c r="C2" s="6">
        <v>1.808594</v>
      </c>
      <c r="D2" s="4">
        <v>763</v>
      </c>
      <c r="E2" s="4" t="s">
        <v>24</v>
      </c>
      <c r="F2" s="4" t="s">
        <v>24</v>
      </c>
      <c r="G2" s="4" t="s">
        <v>24</v>
      </c>
      <c r="I2">
        <f>AVERAGE(D2:D21)</f>
        <v>761.35</v>
      </c>
    </row>
    <row r="3" spans="1:9" x14ac:dyDescent="0.2">
      <c r="A3" s="8">
        <v>46289</v>
      </c>
      <c r="B3" s="9">
        <v>0.56193287037037032</v>
      </c>
      <c r="C3" s="6">
        <v>2.2851560000000002</v>
      </c>
      <c r="D3" s="4">
        <v>761</v>
      </c>
      <c r="E3" s="4" t="s">
        <v>24</v>
      </c>
      <c r="F3" s="4" t="s">
        <v>24</v>
      </c>
      <c r="G3" s="4" t="s">
        <v>24</v>
      </c>
      <c r="I3">
        <f>91*(1023-I2)/I2</f>
        <v>31.273592959873906</v>
      </c>
    </row>
    <row r="4" spans="1:9" x14ac:dyDescent="0.2">
      <c r="A4" s="8">
        <v>46289</v>
      </c>
      <c r="B4" s="9">
        <v>0.56193287037037032</v>
      </c>
      <c r="C4" s="6">
        <v>2.7851560000000002</v>
      </c>
      <c r="D4" s="4">
        <v>761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46289</v>
      </c>
      <c r="B5" s="9">
        <v>0.56194444444444447</v>
      </c>
      <c r="C5" s="6">
        <v>3.3046880000000001</v>
      </c>
      <c r="D5" s="4">
        <v>761</v>
      </c>
      <c r="E5" s="4" t="s">
        <v>39</v>
      </c>
      <c r="F5" s="10">
        <v>0.65</v>
      </c>
      <c r="G5" s="4" t="s">
        <v>26</v>
      </c>
    </row>
    <row r="6" spans="1:9" x14ac:dyDescent="0.2">
      <c r="A6" s="8">
        <v>46289</v>
      </c>
      <c r="B6" s="9">
        <v>0.56194444444444447</v>
      </c>
      <c r="C6" s="6">
        <v>3.8242189999999998</v>
      </c>
      <c r="D6" s="4">
        <v>763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46289</v>
      </c>
      <c r="B7" s="9">
        <v>0.56195601851851851</v>
      </c>
      <c r="C7" s="6">
        <v>4.3242190000000003</v>
      </c>
      <c r="D7" s="4">
        <v>762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46289</v>
      </c>
      <c r="B8" s="9">
        <v>0.56195601851851851</v>
      </c>
      <c r="C8" s="6">
        <v>4.8242190000000003</v>
      </c>
      <c r="D8" s="4">
        <v>760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46289</v>
      </c>
      <c r="B9" s="9">
        <v>0.56196759259259255</v>
      </c>
      <c r="C9" s="6">
        <v>5.3203129999999996</v>
      </c>
      <c r="D9" s="4">
        <v>761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46289</v>
      </c>
      <c r="B10" s="9">
        <v>0.56196759259259255</v>
      </c>
      <c r="C10" s="6">
        <v>5.8476559999999997</v>
      </c>
      <c r="D10" s="4">
        <v>763</v>
      </c>
      <c r="E10" s="4" t="s">
        <v>25</v>
      </c>
      <c r="F10" s="10">
        <v>0.64</v>
      </c>
      <c r="G10" s="4" t="s">
        <v>26</v>
      </c>
    </row>
    <row r="11" spans="1:9" x14ac:dyDescent="0.2">
      <c r="A11" s="8">
        <v>46289</v>
      </c>
      <c r="B11" s="9">
        <v>0.5619791666666667</v>
      </c>
      <c r="C11" s="6">
        <v>6.3671879999999996</v>
      </c>
      <c r="D11" s="4">
        <v>762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46289</v>
      </c>
      <c r="B12" s="9">
        <v>0.5619791666666667</v>
      </c>
      <c r="C12" s="6">
        <v>6.8710940000000003</v>
      </c>
      <c r="D12" s="4">
        <v>760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46289</v>
      </c>
      <c r="B13" s="9">
        <v>0.56199074074074074</v>
      </c>
      <c r="C13" s="6">
        <v>7.3710940000000003</v>
      </c>
      <c r="D13" s="4">
        <v>762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46289</v>
      </c>
      <c r="B14" s="9">
        <v>0.56199074074074074</v>
      </c>
      <c r="C14" s="6">
        <v>7.8710940000000003</v>
      </c>
      <c r="D14" s="4">
        <v>762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46289</v>
      </c>
      <c r="B15" s="9">
        <v>0.56200231481481477</v>
      </c>
      <c r="C15" s="6">
        <v>8.390625</v>
      </c>
      <c r="D15" s="4">
        <v>762</v>
      </c>
      <c r="E15" s="4" t="s">
        <v>39</v>
      </c>
      <c r="F15" s="10">
        <v>0.65</v>
      </c>
      <c r="G15" s="4" t="s">
        <v>26</v>
      </c>
    </row>
    <row r="16" spans="1:9" x14ac:dyDescent="0.2">
      <c r="A16" s="8">
        <v>46289</v>
      </c>
      <c r="B16" s="9">
        <v>0.56200231481481477</v>
      </c>
      <c r="C16" s="6">
        <v>8.9140630000000005</v>
      </c>
      <c r="D16" s="4">
        <v>759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0.56201388888888892</v>
      </c>
      <c r="C17" s="6">
        <v>9.4101560000000006</v>
      </c>
      <c r="D17" s="4">
        <v>760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0.56201388888888892</v>
      </c>
      <c r="C18" s="6">
        <v>9.9101560000000006</v>
      </c>
      <c r="D18" s="4">
        <v>761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0.56202546296296296</v>
      </c>
      <c r="C19" s="6">
        <v>10.41797</v>
      </c>
      <c r="D19" s="4">
        <v>763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46289</v>
      </c>
      <c r="B20" s="9">
        <v>0.562037037037037</v>
      </c>
      <c r="C20" s="6">
        <v>11.429690000000001</v>
      </c>
      <c r="D20" s="4">
        <v>760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46289</v>
      </c>
      <c r="B21" s="9">
        <v>0.562037037037037</v>
      </c>
      <c r="C21" s="6">
        <v>11.960940000000001</v>
      </c>
      <c r="D21" s="4">
        <v>761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E3B8B-0AC8-45C9-B02E-9E7B39800450}">
  <dimension ref="A1:I21"/>
  <sheetViews>
    <sheetView workbookViewId="0">
      <selection activeCell="I2" sqref="I2: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46289</v>
      </c>
      <c r="B2" s="9">
        <v>0.56304398148148149</v>
      </c>
      <c r="C2" s="6">
        <v>1.816406</v>
      </c>
      <c r="D2" s="4">
        <v>762</v>
      </c>
      <c r="E2" s="4" t="s">
        <v>24</v>
      </c>
      <c r="F2" s="4" t="s">
        <v>24</v>
      </c>
      <c r="G2" s="4" t="s">
        <v>24</v>
      </c>
      <c r="I2">
        <f>AVERAGE(D2:D21)</f>
        <v>764.7</v>
      </c>
    </row>
    <row r="3" spans="1:9" x14ac:dyDescent="0.2">
      <c r="A3" s="8">
        <v>46289</v>
      </c>
      <c r="B3" s="9">
        <v>0.56304398148148149</v>
      </c>
      <c r="C3" s="6">
        <v>2.2929689999999998</v>
      </c>
      <c r="D3" s="4">
        <v>762</v>
      </c>
      <c r="E3" s="4" t="s">
        <v>24</v>
      </c>
      <c r="F3" s="4" t="s">
        <v>24</v>
      </c>
      <c r="G3" s="4" t="s">
        <v>24</v>
      </c>
      <c r="I3">
        <f>91*(1023-I2)/I2</f>
        <v>30.73793644566496</v>
      </c>
    </row>
    <row r="4" spans="1:9" x14ac:dyDescent="0.2">
      <c r="A4" s="8">
        <v>46289</v>
      </c>
      <c r="B4" s="9">
        <v>0.56305555555555553</v>
      </c>
      <c r="C4" s="6">
        <v>2.7929689999999998</v>
      </c>
      <c r="D4" s="4">
        <v>765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46289</v>
      </c>
      <c r="B5" s="9">
        <v>0.56305555555555553</v>
      </c>
      <c r="C5" s="6">
        <v>3.3125</v>
      </c>
      <c r="D5" s="4">
        <v>764</v>
      </c>
      <c r="E5" s="4" t="s">
        <v>39</v>
      </c>
      <c r="F5" s="10">
        <v>0.65</v>
      </c>
      <c r="G5" s="4" t="s">
        <v>26</v>
      </c>
    </row>
    <row r="6" spans="1:9" x14ac:dyDescent="0.2">
      <c r="A6" s="8">
        <v>46289</v>
      </c>
      <c r="B6" s="9">
        <v>0.56306712962962968</v>
      </c>
      <c r="C6" s="6">
        <v>3.8320310000000002</v>
      </c>
      <c r="D6" s="4">
        <v>761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46289</v>
      </c>
      <c r="B7" s="9">
        <v>0.56306712962962968</v>
      </c>
      <c r="C7" s="6">
        <v>4.3320309999999997</v>
      </c>
      <c r="D7" s="4">
        <v>760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46289</v>
      </c>
      <c r="B8" s="9">
        <v>0.56307870370370372</v>
      </c>
      <c r="C8" s="6">
        <v>4.8320309999999997</v>
      </c>
      <c r="D8" s="4">
        <v>763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46289</v>
      </c>
      <c r="B9" s="9">
        <v>0.56307870370370372</v>
      </c>
      <c r="C9" s="6">
        <v>5.3320309999999997</v>
      </c>
      <c r="D9" s="4">
        <v>766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46289</v>
      </c>
      <c r="B10" s="9">
        <v>0.56309027777777776</v>
      </c>
      <c r="C10" s="6">
        <v>6.3515629999999996</v>
      </c>
      <c r="D10" s="4">
        <v>767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46289</v>
      </c>
      <c r="B11" s="9">
        <v>0.5631018518518518</v>
      </c>
      <c r="C11" s="6">
        <v>6.875</v>
      </c>
      <c r="D11" s="4">
        <v>765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46289</v>
      </c>
      <c r="B12" s="9">
        <v>0.5631018518518518</v>
      </c>
      <c r="C12" s="6">
        <v>7.4101559999999997</v>
      </c>
      <c r="D12" s="4">
        <v>767</v>
      </c>
      <c r="E12" s="4" t="s">
        <v>27</v>
      </c>
      <c r="F12" s="4" t="s">
        <v>27</v>
      </c>
      <c r="G12" s="4">
        <v>21</v>
      </c>
    </row>
    <row r="13" spans="1:9" x14ac:dyDescent="0.2">
      <c r="A13" s="8">
        <v>46289</v>
      </c>
      <c r="B13" s="9">
        <v>0.56311342592592595</v>
      </c>
      <c r="C13" s="6">
        <v>7.9375</v>
      </c>
      <c r="D13" s="4">
        <v>765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46289</v>
      </c>
      <c r="B14" s="9">
        <v>0.56311342592592595</v>
      </c>
      <c r="C14" s="6">
        <v>8.4570310000000006</v>
      </c>
      <c r="D14" s="4">
        <v>765</v>
      </c>
      <c r="E14" s="4" t="s">
        <v>27</v>
      </c>
      <c r="F14" s="4" t="s">
        <v>27</v>
      </c>
      <c r="G14" s="4">
        <v>3088</v>
      </c>
    </row>
    <row r="15" spans="1:9" x14ac:dyDescent="0.2">
      <c r="A15" s="8">
        <v>46289</v>
      </c>
      <c r="B15" s="9">
        <v>0.56312499999999999</v>
      </c>
      <c r="C15" s="6">
        <v>8.9960939999999994</v>
      </c>
      <c r="D15" s="4">
        <v>766</v>
      </c>
      <c r="E15" s="4" t="s">
        <v>39</v>
      </c>
      <c r="F15" s="10">
        <v>0.65</v>
      </c>
      <c r="G15" s="4" t="s">
        <v>26</v>
      </c>
    </row>
    <row r="16" spans="1:9" x14ac:dyDescent="0.2">
      <c r="A16" s="8">
        <v>46289</v>
      </c>
      <c r="B16" s="9">
        <v>0.56313657407407403</v>
      </c>
      <c r="C16" s="6">
        <v>9.5195310000000006</v>
      </c>
      <c r="D16" s="4">
        <v>767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0.56313657407407403</v>
      </c>
      <c r="C17" s="6">
        <v>10.01953</v>
      </c>
      <c r="D17" s="4">
        <v>767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0.56314814814814818</v>
      </c>
      <c r="C18" s="6">
        <v>10.51953</v>
      </c>
      <c r="D18" s="4">
        <v>764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0.56314814814814818</v>
      </c>
      <c r="C19" s="6">
        <v>11.01953</v>
      </c>
      <c r="D19" s="4">
        <v>768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46289</v>
      </c>
      <c r="B20" s="9">
        <v>0.56315972222222221</v>
      </c>
      <c r="C20" s="6">
        <v>11.535159999999999</v>
      </c>
      <c r="D20" s="4">
        <v>765</v>
      </c>
      <c r="E20" s="4" t="s">
        <v>27</v>
      </c>
      <c r="F20" s="4" t="s">
        <v>27</v>
      </c>
      <c r="G20" s="4">
        <v>21</v>
      </c>
    </row>
    <row r="21" spans="1:7" x14ac:dyDescent="0.2">
      <c r="A21" s="8">
        <v>46289</v>
      </c>
      <c r="B21" s="9">
        <v>0.56315972222222221</v>
      </c>
      <c r="C21" s="6">
        <v>12.0625</v>
      </c>
      <c r="D21" s="4">
        <v>765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3C25-7609-4FC4-899E-3DF8A582B8E4}">
  <dimension ref="A1:I21"/>
  <sheetViews>
    <sheetView workbookViewId="0">
      <selection activeCell="I2" sqref="I2: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46289</v>
      </c>
      <c r="B2" s="9">
        <v>0.56660879629629635</v>
      </c>
      <c r="C2" s="6">
        <v>1.8125</v>
      </c>
      <c r="D2" s="4">
        <v>773</v>
      </c>
      <c r="E2" s="4" t="s">
        <v>24</v>
      </c>
      <c r="F2" s="4" t="s">
        <v>24</v>
      </c>
      <c r="G2" s="4" t="s">
        <v>24</v>
      </c>
      <c r="I2">
        <f>AVERAGE(D2:D21)</f>
        <v>773.55</v>
      </c>
    </row>
    <row r="3" spans="1:9" x14ac:dyDescent="0.2">
      <c r="A3" s="8">
        <v>46289</v>
      </c>
      <c r="B3" s="9">
        <v>0.56662037037037039</v>
      </c>
      <c r="C3" s="6">
        <v>2.28125</v>
      </c>
      <c r="D3" s="4">
        <v>773</v>
      </c>
      <c r="E3" s="4" t="s">
        <v>24</v>
      </c>
      <c r="F3" s="4" t="s">
        <v>24</v>
      </c>
      <c r="G3" s="4" t="s">
        <v>24</v>
      </c>
      <c r="I3">
        <f>91*(1023-I2)/I2</f>
        <v>29.345161915842553</v>
      </c>
    </row>
    <row r="4" spans="1:9" x14ac:dyDescent="0.2">
      <c r="A4" s="8">
        <v>46289</v>
      </c>
      <c r="B4" s="9">
        <v>0.56662037037037039</v>
      </c>
      <c r="C4" s="6">
        <v>2.78125</v>
      </c>
      <c r="D4" s="4">
        <v>773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46289</v>
      </c>
      <c r="B5" s="9">
        <v>0.56663194444444442</v>
      </c>
      <c r="C5" s="6">
        <v>3.3085939999999998</v>
      </c>
      <c r="D5" s="4">
        <v>773</v>
      </c>
      <c r="E5" s="4" t="s">
        <v>39</v>
      </c>
      <c r="F5" s="10">
        <v>0.67</v>
      </c>
      <c r="G5" s="4" t="s">
        <v>26</v>
      </c>
    </row>
    <row r="6" spans="1:9" x14ac:dyDescent="0.2">
      <c r="A6" s="8">
        <v>46289</v>
      </c>
      <c r="B6" s="9">
        <v>0.56663194444444442</v>
      </c>
      <c r="C6" s="6">
        <v>3.828125</v>
      </c>
      <c r="D6" s="4">
        <v>772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46289</v>
      </c>
      <c r="B7" s="9">
        <v>0.56664351851851846</v>
      </c>
      <c r="C7" s="6">
        <v>4.328125</v>
      </c>
      <c r="D7" s="4">
        <v>774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46289</v>
      </c>
      <c r="B8" s="9">
        <v>0.56664351851851846</v>
      </c>
      <c r="C8" s="6">
        <v>4.828125</v>
      </c>
      <c r="D8" s="4">
        <v>774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46289</v>
      </c>
      <c r="B9" s="9">
        <v>0.56665509259259261</v>
      </c>
      <c r="C9" s="6">
        <v>5.3359379999999996</v>
      </c>
      <c r="D9" s="4">
        <v>773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46289</v>
      </c>
      <c r="B10" s="9">
        <v>0.56665509259259261</v>
      </c>
      <c r="C10" s="6">
        <v>5.8515629999999996</v>
      </c>
      <c r="D10" s="4">
        <v>771</v>
      </c>
      <c r="E10" s="4" t="s">
        <v>39</v>
      </c>
      <c r="F10" s="10">
        <v>0.66</v>
      </c>
      <c r="G10" s="4" t="s">
        <v>26</v>
      </c>
    </row>
    <row r="11" spans="1:9" x14ac:dyDescent="0.2">
      <c r="A11" s="8">
        <v>46289</v>
      </c>
      <c r="B11" s="9">
        <v>0.56666666666666665</v>
      </c>
      <c r="C11" s="6">
        <v>6.3671879999999996</v>
      </c>
      <c r="D11" s="4">
        <v>773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46289</v>
      </c>
      <c r="B12" s="9">
        <v>0.56666666666666665</v>
      </c>
      <c r="C12" s="6">
        <v>6.8671879999999996</v>
      </c>
      <c r="D12" s="4">
        <v>773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46289</v>
      </c>
      <c r="B13" s="9">
        <v>0.56667824074074069</v>
      </c>
      <c r="C13" s="6">
        <v>7.3671879999999996</v>
      </c>
      <c r="D13" s="4">
        <v>773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46289</v>
      </c>
      <c r="B14" s="9">
        <v>0.56667824074074069</v>
      </c>
      <c r="C14" s="6">
        <v>7.8671879999999996</v>
      </c>
      <c r="D14" s="4">
        <v>775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46289</v>
      </c>
      <c r="B15" s="9">
        <v>0.56668981481481484</v>
      </c>
      <c r="C15" s="6">
        <v>8.3945310000000006</v>
      </c>
      <c r="D15" s="4">
        <v>773</v>
      </c>
      <c r="E15" s="4" t="s">
        <v>39</v>
      </c>
      <c r="F15" s="10">
        <v>0.65</v>
      </c>
      <c r="G15" s="4" t="s">
        <v>26</v>
      </c>
    </row>
    <row r="16" spans="1:9" x14ac:dyDescent="0.2">
      <c r="A16" s="8">
        <v>46289</v>
      </c>
      <c r="B16" s="9">
        <v>0.56668981481481484</v>
      </c>
      <c r="C16" s="6">
        <v>8.9140630000000005</v>
      </c>
      <c r="D16" s="4">
        <v>773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0.56670138888888888</v>
      </c>
      <c r="C17" s="6">
        <v>9.4140630000000005</v>
      </c>
      <c r="D17" s="4">
        <v>773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0.56670138888888888</v>
      </c>
      <c r="C18" s="6">
        <v>9.9140630000000005</v>
      </c>
      <c r="D18" s="4">
        <v>776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0.56671296296296292</v>
      </c>
      <c r="C19" s="6">
        <v>10.41797</v>
      </c>
      <c r="D19" s="4">
        <v>775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46289</v>
      </c>
      <c r="B20" s="9">
        <v>0.56671296296296292</v>
      </c>
      <c r="C20" s="6">
        <v>10.933590000000001</v>
      </c>
      <c r="D20" s="4">
        <v>776</v>
      </c>
      <c r="E20" s="4" t="s">
        <v>39</v>
      </c>
      <c r="F20" s="10">
        <v>0.65</v>
      </c>
      <c r="G20" s="4" t="s">
        <v>26</v>
      </c>
    </row>
    <row r="21" spans="1:7" x14ac:dyDescent="0.2">
      <c r="A21" s="8">
        <v>46289</v>
      </c>
      <c r="B21" s="9">
        <v>0.56672453703703707</v>
      </c>
      <c r="C21" s="6">
        <v>11.464840000000001</v>
      </c>
      <c r="D21" s="4">
        <v>775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DE0D4-6BF6-4D52-AA85-3F64D53438E9}">
  <dimension ref="A1:I21"/>
  <sheetViews>
    <sheetView tabSelected="1" workbookViewId="0">
      <selection activeCell="I3" sqref="I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46289</v>
      </c>
      <c r="B2" s="9">
        <v>0.56776620370370368</v>
      </c>
      <c r="C2" s="6">
        <v>1.8125</v>
      </c>
      <c r="D2" s="4">
        <v>786</v>
      </c>
      <c r="E2" s="4" t="s">
        <v>24</v>
      </c>
      <c r="F2" s="4" t="s">
        <v>24</v>
      </c>
      <c r="G2" s="4" t="s">
        <v>24</v>
      </c>
      <c r="I2">
        <f>AVERAGE(D2:D21)</f>
        <v>786.95</v>
      </c>
    </row>
    <row r="3" spans="1:9" x14ac:dyDescent="0.2">
      <c r="A3" s="8">
        <v>46289</v>
      </c>
      <c r="B3" s="9">
        <v>0.56777777777777783</v>
      </c>
      <c r="C3" s="6">
        <v>2.28125</v>
      </c>
      <c r="D3" s="4">
        <v>785</v>
      </c>
      <c r="E3" s="4" t="s">
        <v>24</v>
      </c>
      <c r="F3" s="4" t="s">
        <v>24</v>
      </c>
      <c r="G3" s="4" t="s">
        <v>24</v>
      </c>
      <c r="I3">
        <f>91*(1023-I2)/I2</f>
        <v>27.295952728890011</v>
      </c>
    </row>
    <row r="4" spans="1:9" x14ac:dyDescent="0.2">
      <c r="A4" s="8">
        <v>46289</v>
      </c>
      <c r="B4" s="9">
        <v>0.56777777777777783</v>
      </c>
      <c r="C4" s="6">
        <v>2.7890630000000001</v>
      </c>
      <c r="D4" s="4">
        <v>786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46289</v>
      </c>
      <c r="B5" s="9">
        <v>0.56778935185185186</v>
      </c>
      <c r="C5" s="6">
        <v>3.3085939999999998</v>
      </c>
      <c r="D5" s="4">
        <v>787</v>
      </c>
      <c r="E5" s="4" t="s">
        <v>39</v>
      </c>
      <c r="F5" s="10">
        <v>0.65</v>
      </c>
      <c r="G5" s="4" t="s">
        <v>26</v>
      </c>
    </row>
    <row r="6" spans="1:9" x14ac:dyDescent="0.2">
      <c r="A6" s="8">
        <v>46289</v>
      </c>
      <c r="B6" s="9">
        <v>0.56778935185185186</v>
      </c>
      <c r="C6" s="6">
        <v>3.828125</v>
      </c>
      <c r="D6" s="4">
        <v>787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46289</v>
      </c>
      <c r="B7" s="9">
        <v>0.5678009259259259</v>
      </c>
      <c r="C7" s="6">
        <v>4.328125</v>
      </c>
      <c r="D7" s="4">
        <v>786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46289</v>
      </c>
      <c r="B8" s="9">
        <v>0.5678009259259259</v>
      </c>
      <c r="C8" s="6">
        <v>4.8320309999999997</v>
      </c>
      <c r="D8" s="4">
        <v>788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46289</v>
      </c>
      <c r="B9" s="9">
        <v>0.56781250000000005</v>
      </c>
      <c r="C9" s="6">
        <v>5.328125</v>
      </c>
      <c r="D9" s="4">
        <v>786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46289</v>
      </c>
      <c r="B10" s="9">
        <v>0.56781250000000005</v>
      </c>
      <c r="C10" s="6">
        <v>5.8476559999999997</v>
      </c>
      <c r="D10" s="4">
        <v>787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46289</v>
      </c>
      <c r="B11" s="9">
        <v>0.56782407407407409</v>
      </c>
      <c r="C11" s="6">
        <v>6.375</v>
      </c>
      <c r="D11" s="4">
        <v>786</v>
      </c>
      <c r="E11" s="4" t="s">
        <v>27</v>
      </c>
      <c r="F11" s="4" t="s">
        <v>27</v>
      </c>
      <c r="G11" s="4">
        <v>3088</v>
      </c>
    </row>
    <row r="12" spans="1:9" x14ac:dyDescent="0.2">
      <c r="A12" s="8">
        <v>46289</v>
      </c>
      <c r="B12" s="9">
        <v>0.56782407407407409</v>
      </c>
      <c r="C12" s="6">
        <v>6.8867190000000003</v>
      </c>
      <c r="D12" s="4">
        <v>787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46289</v>
      </c>
      <c r="B13" s="9">
        <v>0.56783564814814813</v>
      </c>
      <c r="C13" s="6">
        <v>7.9296879999999996</v>
      </c>
      <c r="D13" s="4">
        <v>787</v>
      </c>
      <c r="E13" s="4" t="s">
        <v>27</v>
      </c>
      <c r="F13" s="4" t="s">
        <v>27</v>
      </c>
      <c r="G13" s="4">
        <v>-237</v>
      </c>
    </row>
    <row r="14" spans="1:9" x14ac:dyDescent="0.2">
      <c r="A14" s="8">
        <v>46289</v>
      </c>
      <c r="B14" s="9">
        <v>0.56784722222222217</v>
      </c>
      <c r="C14" s="6">
        <v>8.453125</v>
      </c>
      <c r="D14" s="4">
        <v>788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46289</v>
      </c>
      <c r="B15" s="9">
        <v>0.56784722222222217</v>
      </c>
      <c r="C15" s="6">
        <v>8.9960939999999994</v>
      </c>
      <c r="D15" s="4">
        <v>787</v>
      </c>
      <c r="E15" s="4" t="s">
        <v>39</v>
      </c>
      <c r="F15" s="10">
        <v>0.65</v>
      </c>
      <c r="G15" s="4" t="s">
        <v>26</v>
      </c>
    </row>
    <row r="16" spans="1:9" x14ac:dyDescent="0.2">
      <c r="A16" s="8">
        <v>46289</v>
      </c>
      <c r="B16" s="9">
        <v>0.56785879629629632</v>
      </c>
      <c r="C16" s="6">
        <v>9.515625</v>
      </c>
      <c r="D16" s="4">
        <v>788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46289</v>
      </c>
      <c r="B17" s="9">
        <v>0.56785879629629632</v>
      </c>
      <c r="C17" s="6">
        <v>10.01563</v>
      </c>
      <c r="D17" s="4">
        <v>787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46289</v>
      </c>
      <c r="B18" s="9">
        <v>0.56787037037037036</v>
      </c>
      <c r="C18" s="6">
        <v>10.51563</v>
      </c>
      <c r="D18" s="4">
        <v>787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46289</v>
      </c>
      <c r="B19" s="9">
        <v>0.56787037037037036</v>
      </c>
      <c r="C19" s="6">
        <v>11.01563</v>
      </c>
      <c r="D19" s="4">
        <v>788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46289</v>
      </c>
      <c r="B20" s="9">
        <v>0.5678819444444444</v>
      </c>
      <c r="C20" s="6">
        <v>12.035159999999999</v>
      </c>
      <c r="D20" s="4">
        <v>789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46289</v>
      </c>
      <c r="B21" s="9">
        <v>0.56789351851851855</v>
      </c>
      <c r="C21" s="6">
        <v>12.5625</v>
      </c>
      <c r="D21" s="4">
        <v>787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41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溫度</vt:lpstr>
      <vt:lpstr>A2</vt:lpstr>
      <vt:lpstr>A3</vt:lpstr>
      <vt:lpstr>A4</vt:lpstr>
      <vt:lpstr>B2</vt:lpstr>
      <vt:lpstr>B3</vt:lpstr>
      <vt:lpstr>B4</vt:lpstr>
      <vt:lpstr>紙杯 60</vt:lpstr>
      <vt:lpstr>紙杯 40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2026-09-24T06:10:55Z</dcterms:modified>
</cp:coreProperties>
</file>