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2026_9_29\"/>
    </mc:Choice>
  </mc:AlternateContent>
  <xr:revisionPtr revIDLastSave="0" documentId="13_ncr:1_{A2D67775-5130-4D1C-B0C1-D1C6E343E65A}" xr6:coauthVersionLast="47" xr6:coauthVersionMax="47" xr10:uidLastSave="{00000000-0000-0000-0000-000000000000}"/>
  <bookViews>
    <workbookView xWindow="-120" yWindow="-120" windowWidth="20730" windowHeight="11160" tabRatio="795" activeTab="8" xr2:uid="{00000000-000D-0000-FFFF-FFFF00000000}"/>
  </bookViews>
  <sheets>
    <sheet name="溫度" sheetId="36" r:id="rId1"/>
    <sheet name="A2" sheetId="37" r:id="rId2"/>
    <sheet name="A3" sheetId="38" r:id="rId3"/>
    <sheet name="A4" sheetId="39" r:id="rId4"/>
    <sheet name="B2" sheetId="40" r:id="rId5"/>
    <sheet name="B3" sheetId="41" r:id="rId6"/>
    <sheet name="B4" sheetId="42" r:id="rId7"/>
    <sheet name="養樂多空白值" sheetId="43" r:id="rId8"/>
    <sheet name="養樂多40" sheetId="46" r:id="rId9"/>
    <sheet name="養樂多30" sheetId="44" r:id="rId10"/>
    <sheet name="養樂多50" sheetId="47" r:id="rId11"/>
    <sheet name="養樂多60" sheetId="48" r:id="rId12"/>
    <sheet name="養樂多70" sheetId="49" r:id="rId13"/>
    <sheet name="養樂多80" sheetId="50" r:id="rId14"/>
    <sheet name="PLXDAQ_new_Settings" sheetId="6" state="hidden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50" l="1"/>
  <c r="I3" i="50" s="1"/>
  <c r="I2" i="49"/>
  <c r="I3" i="49" s="1"/>
  <c r="I2" i="48"/>
  <c r="I3" i="48" s="1"/>
  <c r="I2" i="47"/>
  <c r="I3" i="47" s="1"/>
  <c r="I2" i="46"/>
  <c r="I3" i="46" s="1"/>
  <c r="I2" i="44"/>
  <c r="I3" i="44" s="1"/>
  <c r="I2" i="43"/>
  <c r="I3" i="43" s="1"/>
  <c r="I2" i="42"/>
  <c r="I3" i="42" s="1"/>
  <c r="I2" i="41"/>
  <c r="I3" i="41" s="1"/>
  <c r="I2" i="40"/>
  <c r="I3" i="40" s="1"/>
  <c r="I2" i="39"/>
  <c r="I3" i="39" s="1"/>
  <c r="I2" i="38"/>
  <c r="I3" i="38" s="1"/>
  <c r="I3" i="37"/>
  <c r="I2" i="37"/>
</calcChain>
</file>

<file path=xl/sharedStrings.xml><?xml version="1.0" encoding="utf-8"?>
<sst xmlns="http://schemas.openxmlformats.org/spreadsheetml/2006/main" count="872" uniqueCount="31">
  <si>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</si>
  <si>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</si>
  <si>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</si>
  <si>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</si>
  <si>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</si>
  <si>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</si>
  <si>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</si>
  <si>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</si>
  <si>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</si>
  <si>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</si>
  <si>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</si>
  <si>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</si>
  <si>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</si>
  <si>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</si>
  <si>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</si>
  <si>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</si>
  <si>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</si>
  <si>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</si>
  <si>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</si>
  <si>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</si>
  <si>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A0</t>
  </si>
  <si>
    <t>T</t>
  </si>
  <si>
    <t>H</t>
  </si>
  <si>
    <t>Error Code</t>
  </si>
  <si>
    <t>None</t>
  </si>
  <si>
    <t>30.00 C</t>
  </si>
  <si>
    <t>NULL</t>
  </si>
  <si>
    <t>29.00 C</t>
  </si>
  <si>
    <t>Error</t>
  </si>
  <si>
    <t>28.00 C</t>
  </si>
  <si>
    <t>養樂多80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</si>
</sst>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G21"/>
  <sheetViews>
    <sheetView workbookViewId="0">
      <selection activeCell="E20" sqref="E20:F20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7" x14ac:dyDescent="0.2">
      <c r="A2" s="8">
        <v>46294</v>
      </c>
      <c r="B2" s="9">
        <v>0.68490740740740741</v>
      </c>
      <c r="C2" s="6">
        <v>2.0117189999999998</v>
      </c>
      <c r="D2" s="4">
        <v>5</v>
      </c>
      <c r="E2" s="4" t="s">
        <v>24</v>
      </c>
      <c r="F2" s="4" t="s">
        <v>24</v>
      </c>
      <c r="G2" s="4" t="s">
        <v>24</v>
      </c>
    </row>
    <row r="3" spans="1:7" x14ac:dyDescent="0.2">
      <c r="A3" s="8">
        <v>46294</v>
      </c>
      <c r="B3" s="9">
        <v>0.68490740740740741</v>
      </c>
      <c r="C3" s="6">
        <v>2.2851560000000002</v>
      </c>
      <c r="D3" s="4">
        <v>2</v>
      </c>
      <c r="E3" s="4" t="s">
        <v>24</v>
      </c>
      <c r="F3" s="4" t="s">
        <v>24</v>
      </c>
      <c r="G3" s="4" t="s">
        <v>24</v>
      </c>
    </row>
    <row r="4" spans="1:7" x14ac:dyDescent="0.2">
      <c r="A4" s="8">
        <v>46294</v>
      </c>
      <c r="B4" s="9">
        <v>0.68491898148148145</v>
      </c>
      <c r="C4" s="6">
        <v>2.7851560000000002</v>
      </c>
      <c r="D4" s="4">
        <v>0</v>
      </c>
      <c r="E4" s="4" t="s">
        <v>24</v>
      </c>
      <c r="F4" s="4" t="s">
        <v>24</v>
      </c>
      <c r="G4" s="4" t="s">
        <v>24</v>
      </c>
    </row>
    <row r="5" spans="1:7" x14ac:dyDescent="0.2">
      <c r="A5" s="8">
        <v>46294</v>
      </c>
      <c r="B5" s="9">
        <v>0.68491898148148145</v>
      </c>
      <c r="C5" s="6">
        <v>3.3085939999999998</v>
      </c>
      <c r="D5" s="4">
        <v>0</v>
      </c>
      <c r="E5" s="4" t="s">
        <v>25</v>
      </c>
      <c r="F5" s="10">
        <v>0.59</v>
      </c>
      <c r="G5" s="4" t="s">
        <v>26</v>
      </c>
    </row>
    <row r="6" spans="1:7" x14ac:dyDescent="0.2">
      <c r="A6" s="8">
        <v>46294</v>
      </c>
      <c r="B6" s="9">
        <v>0.6849305555555556</v>
      </c>
      <c r="C6" s="6">
        <v>4.1484379999999996</v>
      </c>
      <c r="D6" s="4">
        <v>2</v>
      </c>
      <c r="E6" s="4" t="s">
        <v>24</v>
      </c>
      <c r="F6" s="4" t="s">
        <v>24</v>
      </c>
      <c r="G6" s="4" t="s">
        <v>24</v>
      </c>
    </row>
    <row r="7" spans="1:7" x14ac:dyDescent="0.2">
      <c r="A7" s="8">
        <v>46294</v>
      </c>
      <c r="B7" s="9">
        <v>0.6849305555555556</v>
      </c>
      <c r="C7" s="6">
        <v>4.328125</v>
      </c>
      <c r="D7" s="4">
        <v>0</v>
      </c>
      <c r="E7" s="4" t="s">
        <v>24</v>
      </c>
      <c r="F7" s="4" t="s">
        <v>24</v>
      </c>
      <c r="G7" s="4" t="s">
        <v>24</v>
      </c>
    </row>
    <row r="8" spans="1:7" x14ac:dyDescent="0.2">
      <c r="A8" s="8">
        <v>46294</v>
      </c>
      <c r="B8" s="9">
        <v>0.68494212962962964</v>
      </c>
      <c r="C8" s="6">
        <v>4.828125</v>
      </c>
      <c r="D8" s="4">
        <v>2</v>
      </c>
      <c r="E8" s="4" t="s">
        <v>24</v>
      </c>
      <c r="F8" s="4" t="s">
        <v>24</v>
      </c>
      <c r="G8" s="4" t="s">
        <v>24</v>
      </c>
    </row>
    <row r="9" spans="1:7" x14ac:dyDescent="0.2">
      <c r="A9" s="8">
        <v>46294</v>
      </c>
      <c r="B9" s="9">
        <v>0.68494212962962964</v>
      </c>
      <c r="C9" s="6">
        <v>5.328125</v>
      </c>
      <c r="D9" s="4">
        <v>2</v>
      </c>
      <c r="E9" s="4" t="s">
        <v>24</v>
      </c>
      <c r="F9" s="4" t="s">
        <v>24</v>
      </c>
      <c r="G9" s="4" t="s">
        <v>24</v>
      </c>
    </row>
    <row r="10" spans="1:7" x14ac:dyDescent="0.2">
      <c r="A10" s="8">
        <v>46294</v>
      </c>
      <c r="B10" s="9">
        <v>0.68495370370370368</v>
      </c>
      <c r="C10" s="6">
        <v>5.8515629999999996</v>
      </c>
      <c r="D10" s="4">
        <v>0</v>
      </c>
      <c r="E10" s="4" t="s">
        <v>25</v>
      </c>
      <c r="F10" s="10">
        <v>0.59</v>
      </c>
      <c r="G10" s="4" t="s">
        <v>26</v>
      </c>
    </row>
    <row r="11" spans="1:7" x14ac:dyDescent="0.2">
      <c r="A11" s="8">
        <v>46294</v>
      </c>
      <c r="B11" s="9">
        <v>0.68495370370370368</v>
      </c>
      <c r="C11" s="6">
        <v>6.3710940000000003</v>
      </c>
      <c r="D11" s="4">
        <v>1</v>
      </c>
      <c r="E11" s="4" t="s">
        <v>24</v>
      </c>
      <c r="F11" s="4" t="s">
        <v>24</v>
      </c>
      <c r="G11" s="4" t="s">
        <v>24</v>
      </c>
    </row>
    <row r="12" spans="1:7" x14ac:dyDescent="0.2">
      <c r="A12" s="8">
        <v>46294</v>
      </c>
      <c r="B12" s="9">
        <v>0.68496527777777783</v>
      </c>
      <c r="C12" s="6">
        <v>6.8710940000000003</v>
      </c>
      <c r="D12" s="4">
        <v>0</v>
      </c>
      <c r="E12" s="4" t="s">
        <v>24</v>
      </c>
      <c r="F12" s="4" t="s">
        <v>24</v>
      </c>
      <c r="G12" s="4" t="s">
        <v>24</v>
      </c>
    </row>
    <row r="13" spans="1:7" x14ac:dyDescent="0.2">
      <c r="A13" s="8">
        <v>46294</v>
      </c>
      <c r="B13" s="9">
        <v>0.68496527777777783</v>
      </c>
      <c r="C13" s="6">
        <v>7.3710940000000003</v>
      </c>
      <c r="D13" s="4">
        <v>2</v>
      </c>
      <c r="E13" s="4" t="s">
        <v>24</v>
      </c>
      <c r="F13" s="4" t="s">
        <v>24</v>
      </c>
      <c r="G13" s="4" t="s">
        <v>24</v>
      </c>
    </row>
    <row r="14" spans="1:7" x14ac:dyDescent="0.2">
      <c r="A14" s="8">
        <v>46294</v>
      </c>
      <c r="B14" s="9">
        <v>0.68497685185185186</v>
      </c>
      <c r="C14" s="6">
        <v>7.8710940000000003</v>
      </c>
      <c r="D14" s="4">
        <v>0</v>
      </c>
      <c r="E14" s="4" t="s">
        <v>24</v>
      </c>
      <c r="F14" s="4" t="s">
        <v>24</v>
      </c>
      <c r="G14" s="4" t="s">
        <v>24</v>
      </c>
    </row>
    <row r="15" spans="1:7" x14ac:dyDescent="0.2">
      <c r="A15" s="8">
        <v>46294</v>
      </c>
      <c r="B15" s="9">
        <v>0.68497685185185186</v>
      </c>
      <c r="C15" s="6">
        <v>8.3984380000000005</v>
      </c>
      <c r="D15" s="4">
        <v>0</v>
      </c>
      <c r="E15" s="4" t="s">
        <v>27</v>
      </c>
      <c r="F15" s="10">
        <v>0.59</v>
      </c>
      <c r="G15" s="4" t="s">
        <v>26</v>
      </c>
    </row>
    <row r="16" spans="1:7" x14ac:dyDescent="0.2">
      <c r="A16" s="8">
        <v>46294</v>
      </c>
      <c r="B16" s="9">
        <v>0.6849884259259259</v>
      </c>
      <c r="C16" s="6">
        <v>8.9140630000000005</v>
      </c>
      <c r="D16" s="4">
        <v>0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46294</v>
      </c>
      <c r="B17" s="9">
        <v>0.6849884259259259</v>
      </c>
      <c r="C17" s="6">
        <v>9.4140630000000005</v>
      </c>
      <c r="D17" s="4">
        <v>0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46294</v>
      </c>
      <c r="B18" s="9">
        <v>0.68500000000000005</v>
      </c>
      <c r="C18" s="6">
        <v>9.9140630000000005</v>
      </c>
      <c r="D18" s="4">
        <v>0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46294</v>
      </c>
      <c r="B19" s="9">
        <v>0.68500000000000005</v>
      </c>
      <c r="C19" s="6">
        <v>10.41797</v>
      </c>
      <c r="D19" s="4">
        <v>1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46294</v>
      </c>
      <c r="B20" s="9">
        <v>0.68501157407407409</v>
      </c>
      <c r="C20" s="6">
        <v>10.9375</v>
      </c>
      <c r="D20" s="4">
        <v>0</v>
      </c>
      <c r="E20" s="4" t="s">
        <v>27</v>
      </c>
      <c r="F20" s="10">
        <v>0.59</v>
      </c>
      <c r="G20" s="4" t="s">
        <v>26</v>
      </c>
    </row>
    <row r="21" spans="1:7" x14ac:dyDescent="0.2">
      <c r="A21" s="8">
        <v>46294</v>
      </c>
      <c r="B21" s="9">
        <v>0.68502314814814813</v>
      </c>
      <c r="C21" s="6">
        <v>11.45703</v>
      </c>
      <c r="D21" s="4">
        <v>0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4C665-6F51-42A7-B9C1-E96838D6E9ED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46294</v>
      </c>
      <c r="B2" s="9">
        <v>0.68527777777777776</v>
      </c>
      <c r="C2" s="6">
        <v>1.8125</v>
      </c>
      <c r="D2" s="4">
        <v>821</v>
      </c>
      <c r="E2" s="4" t="s">
        <v>24</v>
      </c>
      <c r="F2" s="4" t="s">
        <v>24</v>
      </c>
      <c r="G2" s="4" t="s">
        <v>24</v>
      </c>
      <c r="I2">
        <f>AVERAGE(D2:D21)</f>
        <v>823.05</v>
      </c>
    </row>
    <row r="3" spans="1:9" x14ac:dyDescent="0.2">
      <c r="A3" s="8">
        <v>46294</v>
      </c>
      <c r="B3" s="9">
        <v>0.68527777777777776</v>
      </c>
      <c r="C3" s="6">
        <v>2.2890630000000001</v>
      </c>
      <c r="D3" s="4">
        <v>825</v>
      </c>
      <c r="E3" s="4" t="s">
        <v>24</v>
      </c>
      <c r="F3" s="4" t="s">
        <v>24</v>
      </c>
      <c r="G3" s="4" t="s">
        <v>24</v>
      </c>
      <c r="I3">
        <f>91*(1023-I2)/I2</f>
        <v>22.107344632768367</v>
      </c>
    </row>
    <row r="4" spans="1:9" x14ac:dyDescent="0.2">
      <c r="A4" s="8">
        <v>46294</v>
      </c>
      <c r="B4" s="9">
        <v>0.6852893518518518</v>
      </c>
      <c r="C4" s="6">
        <v>2.7890630000000001</v>
      </c>
      <c r="D4" s="4">
        <v>819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46294</v>
      </c>
      <c r="B5" s="9">
        <v>0.68530092592592595</v>
      </c>
      <c r="C5" s="6">
        <v>3.8046880000000001</v>
      </c>
      <c r="D5" s="4">
        <v>820</v>
      </c>
      <c r="E5" s="4" t="s">
        <v>28</v>
      </c>
      <c r="F5" s="4" t="s">
        <v>28</v>
      </c>
      <c r="G5" s="4">
        <v>-237</v>
      </c>
    </row>
    <row r="6" spans="1:9" x14ac:dyDescent="0.2">
      <c r="A6" s="8">
        <v>46294</v>
      </c>
      <c r="B6" s="9">
        <v>0.68530092592592595</v>
      </c>
      <c r="C6" s="6">
        <v>4.328125</v>
      </c>
      <c r="D6" s="4">
        <v>828</v>
      </c>
      <c r="E6" s="4" t="s">
        <v>28</v>
      </c>
      <c r="F6" s="4" t="s">
        <v>28</v>
      </c>
      <c r="G6" s="4">
        <v>4112</v>
      </c>
    </row>
    <row r="7" spans="1:9" x14ac:dyDescent="0.2">
      <c r="A7" s="8">
        <v>46294</v>
      </c>
      <c r="B7" s="9">
        <v>0.68531249999999999</v>
      </c>
      <c r="C7" s="6">
        <v>4.8710940000000003</v>
      </c>
      <c r="D7" s="4">
        <v>823</v>
      </c>
      <c r="E7" s="4" t="s">
        <v>27</v>
      </c>
      <c r="F7" s="10">
        <v>0.59</v>
      </c>
      <c r="G7" s="4" t="s">
        <v>26</v>
      </c>
    </row>
    <row r="8" spans="1:9" x14ac:dyDescent="0.2">
      <c r="A8" s="8">
        <v>46294</v>
      </c>
      <c r="B8" s="9">
        <v>0.68531249999999999</v>
      </c>
      <c r="C8" s="6">
        <v>5.390625</v>
      </c>
      <c r="D8" s="4">
        <v>826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46294</v>
      </c>
      <c r="B9" s="9">
        <v>0.68532407407407403</v>
      </c>
      <c r="C9" s="6">
        <v>5.890625</v>
      </c>
      <c r="D9" s="4">
        <v>820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46294</v>
      </c>
      <c r="B10" s="9">
        <v>0.68532407407407403</v>
      </c>
      <c r="C10" s="6">
        <v>6.3945309999999997</v>
      </c>
      <c r="D10" s="4">
        <v>826</v>
      </c>
      <c r="E10" s="4" t="s">
        <v>24</v>
      </c>
      <c r="F10" s="4" t="s">
        <v>24</v>
      </c>
      <c r="G10" s="4" t="s">
        <v>24</v>
      </c>
    </row>
    <row r="11" spans="1:9" x14ac:dyDescent="0.2">
      <c r="A11" s="8">
        <v>46294</v>
      </c>
      <c r="B11" s="9">
        <v>0.68533564814814818</v>
      </c>
      <c r="C11" s="6">
        <v>6.8945309999999997</v>
      </c>
      <c r="D11" s="4">
        <v>824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46294</v>
      </c>
      <c r="B12" s="9">
        <v>0.68534722222222222</v>
      </c>
      <c r="C12" s="6">
        <v>7.9101559999999997</v>
      </c>
      <c r="D12" s="4">
        <v>821</v>
      </c>
      <c r="E12" s="4" t="s">
        <v>28</v>
      </c>
      <c r="F12" s="4" t="s">
        <v>28</v>
      </c>
      <c r="G12" s="4">
        <v>-237</v>
      </c>
    </row>
    <row r="13" spans="1:9" x14ac:dyDescent="0.2">
      <c r="A13" s="8">
        <v>46294</v>
      </c>
      <c r="B13" s="9">
        <v>0.68534722222222222</v>
      </c>
      <c r="C13" s="6">
        <v>8.4375</v>
      </c>
      <c r="D13" s="4">
        <v>826</v>
      </c>
      <c r="E13" s="4" t="s">
        <v>28</v>
      </c>
      <c r="F13" s="4" t="s">
        <v>28</v>
      </c>
      <c r="G13" s="4">
        <v>4112</v>
      </c>
    </row>
    <row r="14" spans="1:9" x14ac:dyDescent="0.2">
      <c r="A14" s="8">
        <v>46294</v>
      </c>
      <c r="B14" s="9">
        <v>0.68535879629629626</v>
      </c>
      <c r="C14" s="6">
        <v>8.9765630000000005</v>
      </c>
      <c r="D14" s="4">
        <v>822</v>
      </c>
      <c r="E14" s="4" t="s">
        <v>27</v>
      </c>
      <c r="F14" s="10">
        <v>0.59</v>
      </c>
      <c r="G14" s="4" t="s">
        <v>26</v>
      </c>
    </row>
    <row r="15" spans="1:9" x14ac:dyDescent="0.2">
      <c r="A15" s="8">
        <v>46294</v>
      </c>
      <c r="B15" s="9">
        <v>0.68535879629629626</v>
      </c>
      <c r="C15" s="6">
        <v>9.4960939999999994</v>
      </c>
      <c r="D15" s="4">
        <v>822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46294</v>
      </c>
      <c r="B16" s="9">
        <v>0.68537037037037041</v>
      </c>
      <c r="C16" s="6">
        <v>9.9960939999999994</v>
      </c>
      <c r="D16" s="4">
        <v>824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46294</v>
      </c>
      <c r="B17" s="9">
        <v>0.68537037037037041</v>
      </c>
      <c r="C17" s="6">
        <v>10.5</v>
      </c>
      <c r="D17" s="4">
        <v>824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46294</v>
      </c>
      <c r="B18" s="9">
        <v>0.68538194444444445</v>
      </c>
      <c r="C18" s="6">
        <v>11</v>
      </c>
      <c r="D18" s="4">
        <v>821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46294</v>
      </c>
      <c r="B19" s="9">
        <v>0.68538194444444445</v>
      </c>
      <c r="C19" s="6">
        <v>11.51953</v>
      </c>
      <c r="D19" s="4">
        <v>821</v>
      </c>
      <c r="E19" s="4" t="s">
        <v>27</v>
      </c>
      <c r="F19" s="10">
        <v>0.59</v>
      </c>
      <c r="G19" s="4" t="s">
        <v>26</v>
      </c>
    </row>
    <row r="20" spans="1:7" x14ac:dyDescent="0.2">
      <c r="A20" s="8">
        <v>46294</v>
      </c>
      <c r="B20" s="9">
        <v>0.68539351851851849</v>
      </c>
      <c r="C20" s="6">
        <v>12.039059999999999</v>
      </c>
      <c r="D20" s="4">
        <v>823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46294</v>
      </c>
      <c r="B21" s="9">
        <v>0.68539351851851849</v>
      </c>
      <c r="C21" s="6">
        <v>12.539059999999999</v>
      </c>
      <c r="D21" s="4">
        <v>825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AA295-B49D-48EB-AAF3-1179CE26C0BD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46294</v>
      </c>
      <c r="B2" s="9">
        <v>0.68635416666666671</v>
      </c>
      <c r="C2" s="6">
        <v>1.800781</v>
      </c>
      <c r="D2" s="4">
        <v>822</v>
      </c>
      <c r="E2" s="4" t="s">
        <v>24</v>
      </c>
      <c r="F2" s="4" t="s">
        <v>24</v>
      </c>
      <c r="G2" s="4" t="s">
        <v>24</v>
      </c>
      <c r="I2">
        <f>AVERAGE(D2:D21)</f>
        <v>809.65</v>
      </c>
    </row>
    <row r="3" spans="1:9" x14ac:dyDescent="0.2">
      <c r="A3" s="8">
        <v>46294</v>
      </c>
      <c r="B3" s="9">
        <v>0.68635416666666671</v>
      </c>
      <c r="C3" s="6">
        <v>2.2734380000000001</v>
      </c>
      <c r="D3" s="4">
        <v>820</v>
      </c>
      <c r="E3" s="4" t="s">
        <v>24</v>
      </c>
      <c r="F3" s="4" t="s">
        <v>24</v>
      </c>
      <c r="G3" s="4" t="s">
        <v>24</v>
      </c>
      <c r="I3">
        <f>91*(1023-I2)/I2</f>
        <v>23.979312048415984</v>
      </c>
    </row>
    <row r="4" spans="1:9" x14ac:dyDescent="0.2">
      <c r="A4" s="8">
        <v>46294</v>
      </c>
      <c r="B4" s="9">
        <v>0.68636574074074075</v>
      </c>
      <c r="C4" s="6">
        <v>2.78125</v>
      </c>
      <c r="D4" s="4">
        <v>817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46294</v>
      </c>
      <c r="B5" s="9">
        <v>0.68636574074074075</v>
      </c>
      <c r="C5" s="6">
        <v>3.3007810000000002</v>
      </c>
      <c r="D5" s="4">
        <v>815</v>
      </c>
      <c r="E5" s="4" t="s">
        <v>27</v>
      </c>
      <c r="F5" s="10">
        <v>0.6</v>
      </c>
      <c r="G5" s="4" t="s">
        <v>26</v>
      </c>
    </row>
    <row r="6" spans="1:9" x14ac:dyDescent="0.2">
      <c r="A6" s="8">
        <v>46294</v>
      </c>
      <c r="B6" s="9">
        <v>0.68637731481481479</v>
      </c>
      <c r="C6" s="6">
        <v>3.8203130000000001</v>
      </c>
      <c r="D6" s="4">
        <v>813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46294</v>
      </c>
      <c r="B7" s="9">
        <v>0.68637731481481479</v>
      </c>
      <c r="C7" s="6">
        <v>4.3203129999999996</v>
      </c>
      <c r="D7" s="4">
        <v>811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46294</v>
      </c>
      <c r="B8" s="9">
        <v>0.68638888888888894</v>
      </c>
      <c r="C8" s="6">
        <v>4.8203129999999996</v>
      </c>
      <c r="D8" s="4">
        <v>812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46294</v>
      </c>
      <c r="B9" s="9">
        <v>0.68638888888888894</v>
      </c>
      <c r="C9" s="6">
        <v>5.3203129999999996</v>
      </c>
      <c r="D9" s="4">
        <v>811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46294</v>
      </c>
      <c r="B10" s="9">
        <v>0.68640046296296298</v>
      </c>
      <c r="C10" s="6">
        <v>5.84375</v>
      </c>
      <c r="D10" s="4">
        <v>811</v>
      </c>
      <c r="E10" s="4" t="s">
        <v>27</v>
      </c>
      <c r="F10" s="10">
        <v>0.6</v>
      </c>
      <c r="G10" s="4" t="s">
        <v>26</v>
      </c>
    </row>
    <row r="11" spans="1:9" x14ac:dyDescent="0.2">
      <c r="A11" s="8">
        <v>46294</v>
      </c>
      <c r="B11" s="9">
        <v>0.68640046296296298</v>
      </c>
      <c r="C11" s="6">
        <v>6.3632809999999997</v>
      </c>
      <c r="D11" s="4">
        <v>808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46294</v>
      </c>
      <c r="B12" s="9">
        <v>0.68641203703703701</v>
      </c>
      <c r="C12" s="6">
        <v>6.859375</v>
      </c>
      <c r="D12" s="4">
        <v>808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46294</v>
      </c>
      <c r="B13" s="9">
        <v>0.68641203703703701</v>
      </c>
      <c r="C13" s="6">
        <v>7.359375</v>
      </c>
      <c r="D13" s="4">
        <v>807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46294</v>
      </c>
      <c r="B14" s="9">
        <v>0.68642361111111116</v>
      </c>
      <c r="C14" s="6">
        <v>7.8710940000000003</v>
      </c>
      <c r="D14" s="4">
        <v>807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46294</v>
      </c>
      <c r="B15" s="9">
        <v>0.68642361111111116</v>
      </c>
      <c r="C15" s="6">
        <v>8.3867189999999994</v>
      </c>
      <c r="D15" s="4">
        <v>805</v>
      </c>
      <c r="E15" s="4" t="s">
        <v>27</v>
      </c>
      <c r="F15" s="10">
        <v>0.6</v>
      </c>
      <c r="G15" s="4" t="s">
        <v>26</v>
      </c>
    </row>
    <row r="16" spans="1:9" x14ac:dyDescent="0.2">
      <c r="A16" s="8">
        <v>46294</v>
      </c>
      <c r="B16" s="9">
        <v>0.6864351851851852</v>
      </c>
      <c r="C16" s="6">
        <v>8.9101560000000006</v>
      </c>
      <c r="D16" s="4">
        <v>806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46294</v>
      </c>
      <c r="B17" s="9">
        <v>0.6864351851851852</v>
      </c>
      <c r="C17" s="6">
        <v>9.4101560000000006</v>
      </c>
      <c r="D17" s="4">
        <v>806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46294</v>
      </c>
      <c r="B18" s="9">
        <v>0.68644675925925924</v>
      </c>
      <c r="C18" s="6">
        <v>9.9101560000000006</v>
      </c>
      <c r="D18" s="4">
        <v>805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46294</v>
      </c>
      <c r="B19" s="9">
        <v>0.68644675925925924</v>
      </c>
      <c r="C19" s="6">
        <v>10.414059999999999</v>
      </c>
      <c r="D19" s="4">
        <v>802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46294</v>
      </c>
      <c r="B20" s="9">
        <v>0.68645833333333328</v>
      </c>
      <c r="C20" s="6">
        <v>10.929690000000001</v>
      </c>
      <c r="D20" s="4">
        <v>804</v>
      </c>
      <c r="E20" s="4" t="s">
        <v>28</v>
      </c>
      <c r="F20" s="4" t="s">
        <v>28</v>
      </c>
      <c r="G20" s="4">
        <v>21</v>
      </c>
    </row>
    <row r="21" spans="1:7" x14ac:dyDescent="0.2">
      <c r="A21" s="8">
        <v>46294</v>
      </c>
      <c r="B21" s="9">
        <v>0.68645833333333328</v>
      </c>
      <c r="C21" s="6">
        <v>11.45313</v>
      </c>
      <c r="D21" s="4">
        <v>803</v>
      </c>
      <c r="E21" s="4" t="s">
        <v>28</v>
      </c>
      <c r="F21" s="4" t="s">
        <v>28</v>
      </c>
      <c r="G21" s="4">
        <v>4112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1514E-CA92-45EC-9F7F-3990B108C1D8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46294</v>
      </c>
      <c r="B2" s="9">
        <v>0.68732638888888886</v>
      </c>
      <c r="C2" s="6">
        <v>1.800781</v>
      </c>
      <c r="D2" s="4">
        <v>823</v>
      </c>
      <c r="E2" s="4" t="s">
        <v>24</v>
      </c>
      <c r="F2" s="4" t="s">
        <v>24</v>
      </c>
      <c r="G2" s="4" t="s">
        <v>24</v>
      </c>
      <c r="I2">
        <f>AVERAGE(D2:D21)</f>
        <v>820.05</v>
      </c>
    </row>
    <row r="3" spans="1:9" x14ac:dyDescent="0.2">
      <c r="A3" s="8">
        <v>46294</v>
      </c>
      <c r="B3" s="9">
        <v>0.68732638888888886</v>
      </c>
      <c r="C3" s="6">
        <v>2.28125</v>
      </c>
      <c r="D3" s="4">
        <v>825</v>
      </c>
      <c r="E3" s="4" t="s">
        <v>24</v>
      </c>
      <c r="F3" s="4" t="s">
        <v>24</v>
      </c>
      <c r="G3" s="4" t="s">
        <v>24</v>
      </c>
      <c r="I3">
        <f>91*(1023-I2)/I2</f>
        <v>22.521126760563387</v>
      </c>
    </row>
    <row r="4" spans="1:9" x14ac:dyDescent="0.2">
      <c r="A4" s="8">
        <v>46294</v>
      </c>
      <c r="B4" s="9">
        <v>0.68733796296296301</v>
      </c>
      <c r="C4" s="6">
        <v>2.78125</v>
      </c>
      <c r="D4" s="4">
        <v>823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46294</v>
      </c>
      <c r="B5" s="9">
        <v>0.68733796296296301</v>
      </c>
      <c r="C5" s="6">
        <v>3.3007810000000002</v>
      </c>
      <c r="D5" s="4">
        <v>820</v>
      </c>
      <c r="E5" s="4" t="s">
        <v>27</v>
      </c>
      <c r="F5" s="10">
        <v>0.6</v>
      </c>
      <c r="G5" s="4" t="s">
        <v>26</v>
      </c>
    </row>
    <row r="6" spans="1:9" x14ac:dyDescent="0.2">
      <c r="A6" s="8">
        <v>46294</v>
      </c>
      <c r="B6" s="9">
        <v>0.68734953703703705</v>
      </c>
      <c r="C6" s="6">
        <v>3.8203130000000001</v>
      </c>
      <c r="D6" s="4">
        <v>821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46294</v>
      </c>
      <c r="B7" s="9">
        <v>0.68734953703703705</v>
      </c>
      <c r="C7" s="6">
        <v>4.3242190000000003</v>
      </c>
      <c r="D7" s="4">
        <v>821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46294</v>
      </c>
      <c r="B8" s="9">
        <v>0.68736111111111109</v>
      </c>
      <c r="C8" s="6">
        <v>4.8203129999999996</v>
      </c>
      <c r="D8" s="4">
        <v>822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46294</v>
      </c>
      <c r="B9" s="9">
        <v>0.68736111111111109</v>
      </c>
      <c r="C9" s="6">
        <v>5.3203129999999996</v>
      </c>
      <c r="D9" s="4">
        <v>819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46294</v>
      </c>
      <c r="B10" s="9">
        <v>0.68737268518518524</v>
      </c>
      <c r="C10" s="6">
        <v>5.8476559999999997</v>
      </c>
      <c r="D10" s="4">
        <v>822</v>
      </c>
      <c r="E10" s="4" t="s">
        <v>27</v>
      </c>
      <c r="F10" s="10">
        <v>0.6</v>
      </c>
      <c r="G10" s="4" t="s">
        <v>26</v>
      </c>
    </row>
    <row r="11" spans="1:9" x14ac:dyDescent="0.2">
      <c r="A11" s="8">
        <v>46294</v>
      </c>
      <c r="B11" s="9">
        <v>0.68737268518518524</v>
      </c>
      <c r="C11" s="6">
        <v>6.3632809999999997</v>
      </c>
      <c r="D11" s="4">
        <v>821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46294</v>
      </c>
      <c r="B12" s="9">
        <v>0.68738425925925928</v>
      </c>
      <c r="C12" s="6">
        <v>6.8671879999999996</v>
      </c>
      <c r="D12" s="4">
        <v>819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46294</v>
      </c>
      <c r="B13" s="9">
        <v>0.68738425925925928</v>
      </c>
      <c r="C13" s="6">
        <v>7.3632809999999997</v>
      </c>
      <c r="D13" s="4">
        <v>818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46294</v>
      </c>
      <c r="B14" s="9">
        <v>0.68739583333333332</v>
      </c>
      <c r="C14" s="6">
        <v>7.8710940000000003</v>
      </c>
      <c r="D14" s="4">
        <v>820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46294</v>
      </c>
      <c r="B15" s="9">
        <v>0.68739583333333332</v>
      </c>
      <c r="C15" s="6">
        <v>8.390625</v>
      </c>
      <c r="D15" s="4">
        <v>818</v>
      </c>
      <c r="E15" s="4" t="s">
        <v>27</v>
      </c>
      <c r="F15" s="10">
        <v>0.6</v>
      </c>
      <c r="G15" s="4" t="s">
        <v>26</v>
      </c>
    </row>
    <row r="16" spans="1:9" x14ac:dyDescent="0.2">
      <c r="A16" s="8">
        <v>46294</v>
      </c>
      <c r="B16" s="9">
        <v>0.68740740740740736</v>
      </c>
      <c r="C16" s="6">
        <v>8.9101560000000006</v>
      </c>
      <c r="D16" s="4">
        <v>819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46294</v>
      </c>
      <c r="B17" s="9">
        <v>0.68740740740740736</v>
      </c>
      <c r="C17" s="6">
        <v>9.4101560000000006</v>
      </c>
      <c r="D17" s="4">
        <v>819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46294</v>
      </c>
      <c r="B18" s="9">
        <v>0.68741898148148151</v>
      </c>
      <c r="C18" s="6">
        <v>9.9101560000000006</v>
      </c>
      <c r="D18" s="4">
        <v>817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46294</v>
      </c>
      <c r="B19" s="9">
        <v>0.68741898148148151</v>
      </c>
      <c r="C19" s="6">
        <v>10.41797</v>
      </c>
      <c r="D19" s="4">
        <v>819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46294</v>
      </c>
      <c r="B20" s="9">
        <v>0.68743055555555554</v>
      </c>
      <c r="C20" s="6">
        <v>10.929690000000001</v>
      </c>
      <c r="D20" s="4">
        <v>816</v>
      </c>
      <c r="E20" s="4" t="s">
        <v>27</v>
      </c>
      <c r="F20" s="10">
        <v>0.6</v>
      </c>
      <c r="G20" s="4" t="s">
        <v>26</v>
      </c>
    </row>
    <row r="21" spans="1:7" x14ac:dyDescent="0.2">
      <c r="A21" s="8">
        <v>46294</v>
      </c>
      <c r="B21" s="9">
        <v>0.68743055555555554</v>
      </c>
      <c r="C21" s="6">
        <v>11.45703</v>
      </c>
      <c r="D21" s="4">
        <v>819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70B64-2258-417B-A1B6-426EE5A53C0B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46294</v>
      </c>
      <c r="B2" s="9">
        <v>0.68840277777777781</v>
      </c>
      <c r="C2" s="6">
        <v>1.8125</v>
      </c>
      <c r="D2" s="4">
        <v>791</v>
      </c>
      <c r="E2" s="4" t="s">
        <v>24</v>
      </c>
      <c r="F2" s="4" t="s">
        <v>24</v>
      </c>
      <c r="G2" s="4" t="s">
        <v>24</v>
      </c>
      <c r="I2">
        <f>AVERAGE(D2:D21)</f>
        <v>794.75</v>
      </c>
    </row>
    <row r="3" spans="1:9" x14ac:dyDescent="0.2">
      <c r="A3" s="8">
        <v>46294</v>
      </c>
      <c r="B3" s="9">
        <v>0.68841435185185185</v>
      </c>
      <c r="C3" s="6">
        <v>2.28125</v>
      </c>
      <c r="D3" s="4">
        <v>793</v>
      </c>
      <c r="E3" s="4" t="s">
        <v>24</v>
      </c>
      <c r="F3" s="4" t="s">
        <v>24</v>
      </c>
      <c r="G3" s="4" t="s">
        <v>24</v>
      </c>
      <c r="I3">
        <f>91*(1023-I2)/I2</f>
        <v>26.134948096885815</v>
      </c>
    </row>
    <row r="4" spans="1:9" x14ac:dyDescent="0.2">
      <c r="A4" s="8">
        <v>46294</v>
      </c>
      <c r="B4" s="9">
        <v>0.68841435185185185</v>
      </c>
      <c r="C4" s="6">
        <v>2.7851560000000002</v>
      </c>
      <c r="D4" s="4">
        <v>792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46294</v>
      </c>
      <c r="B5" s="9">
        <v>0.68842592592592589</v>
      </c>
      <c r="C5" s="6">
        <v>3.3125</v>
      </c>
      <c r="D5" s="4">
        <v>792</v>
      </c>
      <c r="E5" s="4" t="s">
        <v>27</v>
      </c>
      <c r="F5" s="10">
        <v>0.6</v>
      </c>
      <c r="G5" s="4" t="s">
        <v>26</v>
      </c>
    </row>
    <row r="6" spans="1:9" x14ac:dyDescent="0.2">
      <c r="A6" s="8">
        <v>46294</v>
      </c>
      <c r="B6" s="9">
        <v>0.68842592592592589</v>
      </c>
      <c r="C6" s="6">
        <v>3.8320310000000002</v>
      </c>
      <c r="D6" s="4">
        <v>794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46294</v>
      </c>
      <c r="B7" s="9">
        <v>0.68843750000000004</v>
      </c>
      <c r="C7" s="6">
        <v>4.3320309999999997</v>
      </c>
      <c r="D7" s="4">
        <v>792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46294</v>
      </c>
      <c r="B8" s="9">
        <v>0.68843750000000004</v>
      </c>
      <c r="C8" s="6">
        <v>4.8320309999999997</v>
      </c>
      <c r="D8" s="4">
        <v>794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46294</v>
      </c>
      <c r="B9" s="9">
        <v>0.68844907407407407</v>
      </c>
      <c r="C9" s="6">
        <v>5.3320309999999997</v>
      </c>
      <c r="D9" s="4">
        <v>793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46294</v>
      </c>
      <c r="B10" s="9">
        <v>0.68844907407407407</v>
      </c>
      <c r="C10" s="6">
        <v>5.8515629999999996</v>
      </c>
      <c r="D10" s="4">
        <v>796</v>
      </c>
      <c r="E10" s="4" t="s">
        <v>27</v>
      </c>
      <c r="F10" s="10">
        <v>0.6</v>
      </c>
      <c r="G10" s="4" t="s">
        <v>26</v>
      </c>
    </row>
    <row r="11" spans="1:9" x14ac:dyDescent="0.2">
      <c r="A11" s="8">
        <v>46294</v>
      </c>
      <c r="B11" s="9">
        <v>0.68846064814814811</v>
      </c>
      <c r="C11" s="6">
        <v>6.3789059999999997</v>
      </c>
      <c r="D11" s="4">
        <v>796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46294</v>
      </c>
      <c r="B12" s="9">
        <v>0.68846064814814811</v>
      </c>
      <c r="C12" s="6">
        <v>6.875</v>
      </c>
      <c r="D12" s="4">
        <v>794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46294</v>
      </c>
      <c r="B13" s="9">
        <v>0.68847222222222226</v>
      </c>
      <c r="C13" s="6">
        <v>7.375</v>
      </c>
      <c r="D13" s="4">
        <v>794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46294</v>
      </c>
      <c r="B14" s="9">
        <v>0.68847222222222226</v>
      </c>
      <c r="C14" s="6">
        <v>7.8789059999999997</v>
      </c>
      <c r="D14" s="4">
        <v>795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46294</v>
      </c>
      <c r="B15" s="9">
        <v>0.6884837962962963</v>
      </c>
      <c r="C15" s="6">
        <v>8.3984380000000005</v>
      </c>
      <c r="D15" s="4">
        <v>796</v>
      </c>
      <c r="E15" s="4" t="s">
        <v>27</v>
      </c>
      <c r="F15" s="10">
        <v>0.6</v>
      </c>
      <c r="G15" s="4" t="s">
        <v>26</v>
      </c>
    </row>
    <row r="16" spans="1:9" x14ac:dyDescent="0.2">
      <c r="A16" s="8">
        <v>46294</v>
      </c>
      <c r="B16" s="9">
        <v>0.6884837962962963</v>
      </c>
      <c r="C16" s="6">
        <v>8.9101560000000006</v>
      </c>
      <c r="D16" s="4">
        <v>796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46294</v>
      </c>
      <c r="B17" s="9">
        <v>0.68849537037037034</v>
      </c>
      <c r="C17" s="6">
        <v>9.421875</v>
      </c>
      <c r="D17" s="4">
        <v>798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46294</v>
      </c>
      <c r="B18" s="9">
        <v>0.68849537037037034</v>
      </c>
      <c r="C18" s="6">
        <v>9.921875</v>
      </c>
      <c r="D18" s="4">
        <v>797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46294</v>
      </c>
      <c r="B19" s="9">
        <v>0.68850694444444449</v>
      </c>
      <c r="C19" s="6">
        <v>10.42578</v>
      </c>
      <c r="D19" s="4">
        <v>798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46294</v>
      </c>
      <c r="B20" s="9">
        <v>0.68850694444444449</v>
      </c>
      <c r="C20" s="6">
        <v>10.9375</v>
      </c>
      <c r="D20" s="4">
        <v>796</v>
      </c>
      <c r="E20" s="4" t="s">
        <v>28</v>
      </c>
      <c r="F20" s="4" t="s">
        <v>28</v>
      </c>
      <c r="G20" s="4">
        <v>21</v>
      </c>
    </row>
    <row r="21" spans="1:7" x14ac:dyDescent="0.2">
      <c r="A21" s="8">
        <v>46294</v>
      </c>
      <c r="B21" s="9">
        <v>0.68851851851851853</v>
      </c>
      <c r="C21" s="6">
        <v>11.464840000000001</v>
      </c>
      <c r="D21" s="4">
        <v>798</v>
      </c>
      <c r="E21" s="4" t="s">
        <v>28</v>
      </c>
      <c r="F21" s="4" t="s">
        <v>28</v>
      </c>
      <c r="G21" s="4">
        <v>3088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734B2-DF5E-41E2-8EB8-F3FCEFA33607}">
  <dimension ref="A1:I108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46294</v>
      </c>
      <c r="B2" s="9">
        <v>0.68964120370370374</v>
      </c>
      <c r="C2" s="6">
        <v>1.808594</v>
      </c>
      <c r="D2" s="4">
        <v>779</v>
      </c>
      <c r="E2" s="4" t="s">
        <v>24</v>
      </c>
      <c r="F2" s="4" t="s">
        <v>24</v>
      </c>
      <c r="G2" s="4" t="s">
        <v>24</v>
      </c>
      <c r="I2">
        <f>AVERAGE(D2:D21)</f>
        <v>775.35</v>
      </c>
    </row>
    <row r="3" spans="1:9" x14ac:dyDescent="0.2">
      <c r="A3" s="8">
        <v>46294</v>
      </c>
      <c r="B3" s="9">
        <v>0.68964120370370374</v>
      </c>
      <c r="C3" s="6">
        <v>2.2890630000000001</v>
      </c>
      <c r="D3" s="4">
        <v>776</v>
      </c>
      <c r="E3" s="4" t="s">
        <v>24</v>
      </c>
      <c r="F3" s="4" t="s">
        <v>24</v>
      </c>
      <c r="G3" s="4" t="s">
        <v>24</v>
      </c>
      <c r="I3">
        <f>91*(1023-I2)/I2</f>
        <v>29.06577674598568</v>
      </c>
    </row>
    <row r="4" spans="1:9" x14ac:dyDescent="0.2">
      <c r="A4" s="8">
        <v>46294</v>
      </c>
      <c r="B4" s="9">
        <v>0.68965277777777778</v>
      </c>
      <c r="C4" s="6">
        <v>2.7851560000000002</v>
      </c>
      <c r="D4" s="4">
        <v>776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46294</v>
      </c>
      <c r="B5" s="9">
        <v>0.68965277777777778</v>
      </c>
      <c r="C5" s="6">
        <v>3.3046880000000001</v>
      </c>
      <c r="D5" s="4">
        <v>775</v>
      </c>
      <c r="E5" s="4" t="s">
        <v>29</v>
      </c>
      <c r="F5" s="10">
        <v>0.59</v>
      </c>
      <c r="G5" s="4" t="s">
        <v>26</v>
      </c>
    </row>
    <row r="6" spans="1:9" x14ac:dyDescent="0.2">
      <c r="A6" s="8">
        <v>46294</v>
      </c>
      <c r="B6" s="9">
        <v>0.68966435185185182</v>
      </c>
      <c r="C6" s="6">
        <v>3.828125</v>
      </c>
      <c r="D6" s="4">
        <v>772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46294</v>
      </c>
      <c r="B7" s="9">
        <v>0.68966435185185182</v>
      </c>
      <c r="C7" s="6">
        <v>4.3320309999999997</v>
      </c>
      <c r="D7" s="4">
        <v>771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46294</v>
      </c>
      <c r="B8" s="9">
        <v>0.68967592592592597</v>
      </c>
      <c r="C8" s="6">
        <v>4.8320309999999997</v>
      </c>
      <c r="D8" s="4">
        <v>771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46294</v>
      </c>
      <c r="B9" s="9">
        <v>0.68967592592592597</v>
      </c>
      <c r="C9" s="6">
        <v>5.3320309999999997</v>
      </c>
      <c r="D9" s="4">
        <v>773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46294</v>
      </c>
      <c r="B10" s="9">
        <v>0.68968750000000001</v>
      </c>
      <c r="C10" s="6">
        <v>6.3476559999999997</v>
      </c>
      <c r="D10" s="4">
        <v>774</v>
      </c>
      <c r="E10" s="4" t="s">
        <v>28</v>
      </c>
      <c r="F10" s="4" t="s">
        <v>28</v>
      </c>
      <c r="G10" s="4">
        <v>-237</v>
      </c>
    </row>
    <row r="11" spans="1:9" x14ac:dyDescent="0.2">
      <c r="A11" s="8">
        <v>46294</v>
      </c>
      <c r="B11" s="9">
        <v>0.68969907407407405</v>
      </c>
      <c r="C11" s="6">
        <v>6.875</v>
      </c>
      <c r="D11" s="4">
        <v>775</v>
      </c>
      <c r="E11" s="4" t="s">
        <v>28</v>
      </c>
      <c r="F11" s="4" t="s">
        <v>28</v>
      </c>
      <c r="G11" s="4">
        <v>3088</v>
      </c>
    </row>
    <row r="12" spans="1:9" x14ac:dyDescent="0.2">
      <c r="A12" s="8">
        <v>46294</v>
      </c>
      <c r="B12" s="9">
        <v>0.6897106481481482</v>
      </c>
      <c r="C12" s="6">
        <v>7.9101559999999997</v>
      </c>
      <c r="D12" s="4">
        <v>773</v>
      </c>
      <c r="E12" s="4" t="s">
        <v>28</v>
      </c>
      <c r="F12" s="4" t="s">
        <v>28</v>
      </c>
      <c r="G12" s="4">
        <v>-237</v>
      </c>
    </row>
    <row r="13" spans="1:9" x14ac:dyDescent="0.2">
      <c r="A13" s="8">
        <v>46294</v>
      </c>
      <c r="B13" s="9">
        <v>0.6897106481481482</v>
      </c>
      <c r="C13" s="6">
        <v>8.4375</v>
      </c>
      <c r="D13" s="4">
        <v>773</v>
      </c>
      <c r="E13" s="4" t="s">
        <v>28</v>
      </c>
      <c r="F13" s="4" t="s">
        <v>28</v>
      </c>
      <c r="G13" s="4">
        <v>4112</v>
      </c>
    </row>
    <row r="14" spans="1:9" x14ac:dyDescent="0.2">
      <c r="A14" s="8">
        <v>46294</v>
      </c>
      <c r="B14" s="9">
        <v>0.68972222222222224</v>
      </c>
      <c r="C14" s="6">
        <v>8.9726560000000006</v>
      </c>
      <c r="D14" s="4">
        <v>777</v>
      </c>
      <c r="E14" s="4" t="s">
        <v>29</v>
      </c>
      <c r="F14" s="10">
        <v>0.59</v>
      </c>
      <c r="G14" s="4" t="s">
        <v>26</v>
      </c>
    </row>
    <row r="15" spans="1:9" x14ac:dyDescent="0.2">
      <c r="A15" s="8">
        <v>46294</v>
      </c>
      <c r="B15" s="9">
        <v>0.68972222222222224</v>
      </c>
      <c r="C15" s="6">
        <v>9.5</v>
      </c>
      <c r="D15" s="4">
        <v>774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46294</v>
      </c>
      <c r="B16" s="9">
        <v>0.68973379629629628</v>
      </c>
      <c r="C16" s="6">
        <v>9.9960939999999994</v>
      </c>
      <c r="D16" s="4">
        <v>776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46294</v>
      </c>
      <c r="B17" s="9">
        <v>0.68973379629629628</v>
      </c>
      <c r="C17" s="6">
        <v>10.496090000000001</v>
      </c>
      <c r="D17" s="4">
        <v>778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46294</v>
      </c>
      <c r="B18" s="9">
        <v>0.68974537037037043</v>
      </c>
      <c r="C18" s="6">
        <v>11</v>
      </c>
      <c r="D18" s="4">
        <v>779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46294</v>
      </c>
      <c r="B19" s="9">
        <v>0.68974537037037043</v>
      </c>
      <c r="C19" s="6">
        <v>11.51953</v>
      </c>
      <c r="D19" s="4">
        <v>777</v>
      </c>
      <c r="E19" s="4" t="s">
        <v>29</v>
      </c>
      <c r="F19" s="10">
        <v>0.59</v>
      </c>
      <c r="G19" s="4" t="s">
        <v>26</v>
      </c>
    </row>
    <row r="20" spans="1:7" x14ac:dyDescent="0.2">
      <c r="A20" s="8">
        <v>46294</v>
      </c>
      <c r="B20" s="9">
        <v>0.68975694444444446</v>
      </c>
      <c r="C20" s="6">
        <v>12.039059999999999</v>
      </c>
      <c r="D20" s="4">
        <v>779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46294</v>
      </c>
      <c r="B21" s="9">
        <v>0.68975694444444446</v>
      </c>
      <c r="C21" s="6">
        <v>12.54297</v>
      </c>
      <c r="D21" s="4">
        <v>779</v>
      </c>
      <c r="E21" s="4" t="s">
        <v>24</v>
      </c>
      <c r="F21" s="4" t="s">
        <v>24</v>
      </c>
      <c r="G21" s="4" t="s">
        <v>24</v>
      </c>
    </row>
    <row r="22" spans="1:7" x14ac:dyDescent="0.2">
      <c r="A22" s="8"/>
      <c r="B22" s="9"/>
    </row>
    <row r="23" spans="1:7" x14ac:dyDescent="0.2">
      <c r="A23" s="8"/>
      <c r="B23" s="9"/>
    </row>
    <row r="24" spans="1:7" x14ac:dyDescent="0.2">
      <c r="A24" s="8"/>
      <c r="B24" s="9"/>
      <c r="F24" s="10"/>
    </row>
    <row r="25" spans="1:7" x14ac:dyDescent="0.2">
      <c r="A25" s="8"/>
      <c r="B25" s="9"/>
    </row>
    <row r="26" spans="1:7" x14ac:dyDescent="0.2">
      <c r="A26" s="8"/>
      <c r="B26" s="9"/>
    </row>
    <row r="27" spans="1:7" x14ac:dyDescent="0.2">
      <c r="A27" s="8"/>
      <c r="B27" s="9"/>
    </row>
    <row r="28" spans="1:7" x14ac:dyDescent="0.2">
      <c r="A28" s="8"/>
      <c r="B28" s="9"/>
    </row>
    <row r="29" spans="1:7" x14ac:dyDescent="0.2">
      <c r="A29" s="8"/>
      <c r="B29" s="9"/>
    </row>
    <row r="30" spans="1:7" x14ac:dyDescent="0.2">
      <c r="A30" s="8"/>
      <c r="B30" s="9"/>
    </row>
    <row r="31" spans="1:7" x14ac:dyDescent="0.2">
      <c r="A31" s="8"/>
      <c r="B31" s="9"/>
    </row>
    <row r="32" spans="1:7" x14ac:dyDescent="0.2">
      <c r="A32" s="8"/>
      <c r="B32" s="9"/>
    </row>
    <row r="33" spans="1:6" x14ac:dyDescent="0.2">
      <c r="A33" s="8"/>
      <c r="B33" s="9"/>
    </row>
    <row r="34" spans="1:6" x14ac:dyDescent="0.2">
      <c r="A34" s="8"/>
      <c r="B34" s="9"/>
    </row>
    <row r="35" spans="1:6" x14ac:dyDescent="0.2">
      <c r="A35" s="8"/>
      <c r="B35" s="9"/>
      <c r="F35" s="10"/>
    </row>
    <row r="36" spans="1:6" x14ac:dyDescent="0.2">
      <c r="A36" s="8"/>
      <c r="B36" s="9"/>
    </row>
    <row r="37" spans="1:6" x14ac:dyDescent="0.2">
      <c r="A37" s="8"/>
      <c r="B37" s="9"/>
    </row>
    <row r="38" spans="1:6" x14ac:dyDescent="0.2">
      <c r="A38" s="8"/>
      <c r="B38" s="9"/>
    </row>
    <row r="39" spans="1:6" x14ac:dyDescent="0.2">
      <c r="A39" s="8"/>
      <c r="B39" s="9"/>
    </row>
    <row r="40" spans="1:6" x14ac:dyDescent="0.2">
      <c r="A40" s="8"/>
      <c r="B40" s="9"/>
    </row>
    <row r="41" spans="1:6" x14ac:dyDescent="0.2">
      <c r="A41" s="8"/>
      <c r="B41" s="9"/>
    </row>
    <row r="42" spans="1:6" x14ac:dyDescent="0.2">
      <c r="A42" s="8"/>
      <c r="B42" s="9"/>
    </row>
    <row r="43" spans="1:6" x14ac:dyDescent="0.2">
      <c r="A43" s="8"/>
      <c r="B43" s="9"/>
    </row>
    <row r="44" spans="1:6" x14ac:dyDescent="0.2">
      <c r="A44" s="8"/>
      <c r="B44" s="9"/>
    </row>
    <row r="45" spans="1:6" x14ac:dyDescent="0.2">
      <c r="A45" s="8"/>
      <c r="B45" s="9"/>
    </row>
    <row r="46" spans="1:6" x14ac:dyDescent="0.2">
      <c r="A46" s="8"/>
      <c r="B46" s="9"/>
    </row>
    <row r="47" spans="1:6" x14ac:dyDescent="0.2">
      <c r="A47" s="8"/>
      <c r="B47" s="9"/>
    </row>
    <row r="48" spans="1:6" x14ac:dyDescent="0.2">
      <c r="A48" s="8"/>
      <c r="B48" s="9"/>
    </row>
    <row r="49" spans="1:6" x14ac:dyDescent="0.2">
      <c r="A49" s="8"/>
      <c r="B49" s="9"/>
    </row>
    <row r="50" spans="1:6" x14ac:dyDescent="0.2">
      <c r="A50" s="8"/>
      <c r="B50" s="9"/>
      <c r="F50" s="10"/>
    </row>
    <row r="51" spans="1:6" x14ac:dyDescent="0.2">
      <c r="A51" s="8"/>
      <c r="B51" s="9"/>
    </row>
    <row r="52" spans="1:6" x14ac:dyDescent="0.2">
      <c r="A52" s="8"/>
      <c r="B52" s="9"/>
    </row>
    <row r="53" spans="1:6" x14ac:dyDescent="0.2">
      <c r="A53" s="8"/>
      <c r="B53" s="9"/>
    </row>
    <row r="54" spans="1:6" x14ac:dyDescent="0.2">
      <c r="A54" s="8"/>
      <c r="B54" s="9"/>
    </row>
    <row r="55" spans="1:6" x14ac:dyDescent="0.2">
      <c r="A55" s="8"/>
      <c r="B55" s="9"/>
      <c r="F55" s="10"/>
    </row>
    <row r="56" spans="1:6" x14ac:dyDescent="0.2">
      <c r="A56" s="8"/>
      <c r="B56" s="9"/>
    </row>
    <row r="57" spans="1:6" x14ac:dyDescent="0.2">
      <c r="A57" s="8"/>
      <c r="B57" s="9"/>
    </row>
    <row r="58" spans="1:6" x14ac:dyDescent="0.2">
      <c r="A58" s="8"/>
      <c r="B58" s="9"/>
    </row>
    <row r="59" spans="1:6" x14ac:dyDescent="0.2">
      <c r="A59" s="8"/>
      <c r="B59" s="9"/>
    </row>
    <row r="60" spans="1:6" x14ac:dyDescent="0.2">
      <c r="A60" s="8"/>
      <c r="B60" s="9"/>
    </row>
    <row r="61" spans="1:6" x14ac:dyDescent="0.2">
      <c r="A61" s="8"/>
      <c r="B61" s="9"/>
    </row>
    <row r="62" spans="1:6" x14ac:dyDescent="0.2">
      <c r="A62" s="8"/>
      <c r="B62" s="9"/>
      <c r="F62" s="10"/>
    </row>
    <row r="63" spans="1:6" x14ac:dyDescent="0.2">
      <c r="A63" s="8"/>
      <c r="B63" s="9"/>
    </row>
    <row r="64" spans="1:6" x14ac:dyDescent="0.2">
      <c r="A64" s="8"/>
      <c r="B64" s="9"/>
    </row>
    <row r="65" spans="1:6" x14ac:dyDescent="0.2">
      <c r="A65" s="8"/>
      <c r="B65" s="9"/>
    </row>
    <row r="66" spans="1:6" x14ac:dyDescent="0.2">
      <c r="A66" s="8"/>
      <c r="B66" s="9"/>
    </row>
    <row r="67" spans="1:6" x14ac:dyDescent="0.2">
      <c r="A67" s="8"/>
      <c r="B67" s="9"/>
      <c r="F67" s="10"/>
    </row>
    <row r="68" spans="1:6" x14ac:dyDescent="0.2">
      <c r="A68" s="8"/>
      <c r="B68" s="9"/>
    </row>
    <row r="69" spans="1:6" x14ac:dyDescent="0.2">
      <c r="A69" s="8"/>
      <c r="B69" s="9"/>
    </row>
    <row r="70" spans="1:6" x14ac:dyDescent="0.2">
      <c r="A70" s="8"/>
      <c r="B70" s="9"/>
    </row>
    <row r="71" spans="1:6" x14ac:dyDescent="0.2">
      <c r="A71" s="8"/>
      <c r="B71" s="9"/>
    </row>
    <row r="72" spans="1:6" x14ac:dyDescent="0.2">
      <c r="A72" s="8"/>
      <c r="B72" s="9"/>
      <c r="F72" s="10"/>
    </row>
    <row r="73" spans="1:6" x14ac:dyDescent="0.2">
      <c r="A73" s="8"/>
      <c r="B73" s="9"/>
    </row>
    <row r="74" spans="1:6" x14ac:dyDescent="0.2">
      <c r="A74" s="8"/>
      <c r="B74" s="9"/>
    </row>
    <row r="75" spans="1:6" x14ac:dyDescent="0.2">
      <c r="A75" s="8"/>
      <c r="B75" s="9"/>
    </row>
    <row r="76" spans="1:6" x14ac:dyDescent="0.2">
      <c r="A76" s="8"/>
      <c r="B76" s="9"/>
    </row>
    <row r="77" spans="1:6" x14ac:dyDescent="0.2">
      <c r="A77" s="8"/>
      <c r="B77" s="9"/>
    </row>
    <row r="78" spans="1:6" x14ac:dyDescent="0.2">
      <c r="A78" s="8"/>
      <c r="B78" s="9"/>
    </row>
    <row r="79" spans="1:6" x14ac:dyDescent="0.2">
      <c r="A79" s="8"/>
      <c r="B79" s="9"/>
    </row>
    <row r="80" spans="1:6" x14ac:dyDescent="0.2">
      <c r="A80" s="8"/>
      <c r="B80" s="9"/>
    </row>
    <row r="81" spans="1:6" x14ac:dyDescent="0.2">
      <c r="A81" s="8"/>
      <c r="B81" s="9"/>
    </row>
    <row r="82" spans="1:6" x14ac:dyDescent="0.2">
      <c r="A82" s="8"/>
      <c r="B82" s="9"/>
    </row>
    <row r="83" spans="1:6" x14ac:dyDescent="0.2">
      <c r="A83" s="8"/>
      <c r="B83" s="9"/>
    </row>
    <row r="84" spans="1:6" x14ac:dyDescent="0.2">
      <c r="A84" s="8"/>
      <c r="B84" s="9"/>
    </row>
    <row r="85" spans="1:6" x14ac:dyDescent="0.2">
      <c r="A85" s="8"/>
      <c r="B85" s="9"/>
    </row>
    <row r="86" spans="1:6" x14ac:dyDescent="0.2">
      <c r="A86" s="8"/>
      <c r="B86" s="9"/>
      <c r="F86" s="10"/>
    </row>
    <row r="87" spans="1:6" x14ac:dyDescent="0.2">
      <c r="A87" s="8"/>
      <c r="B87" s="9"/>
    </row>
    <row r="88" spans="1:6" x14ac:dyDescent="0.2">
      <c r="A88" s="8"/>
      <c r="B88" s="9"/>
    </row>
    <row r="89" spans="1:6" x14ac:dyDescent="0.2">
      <c r="A89" s="8"/>
      <c r="B89" s="9"/>
    </row>
    <row r="90" spans="1:6" x14ac:dyDescent="0.2">
      <c r="A90" s="8"/>
      <c r="B90" s="9"/>
    </row>
    <row r="91" spans="1:6" x14ac:dyDescent="0.2">
      <c r="A91" s="8"/>
      <c r="B91" s="9"/>
      <c r="F91" s="10"/>
    </row>
    <row r="92" spans="1:6" x14ac:dyDescent="0.2">
      <c r="A92" s="8"/>
      <c r="B92" s="9"/>
    </row>
    <row r="93" spans="1:6" x14ac:dyDescent="0.2">
      <c r="A93" s="8"/>
      <c r="B93" s="9"/>
    </row>
    <row r="94" spans="1:6" x14ac:dyDescent="0.2">
      <c r="A94" s="8"/>
      <c r="B94" s="9"/>
    </row>
    <row r="95" spans="1:6" x14ac:dyDescent="0.2">
      <c r="A95" s="8"/>
      <c r="B95" s="9"/>
    </row>
    <row r="96" spans="1:6" x14ac:dyDescent="0.2">
      <c r="A96" s="8"/>
      <c r="B96" s="9"/>
      <c r="F96" s="10"/>
    </row>
    <row r="97" spans="1:6" x14ac:dyDescent="0.2">
      <c r="A97" s="8"/>
      <c r="B97" s="9"/>
    </row>
    <row r="98" spans="1:6" x14ac:dyDescent="0.2">
      <c r="A98" s="8"/>
      <c r="B98" s="9"/>
    </row>
    <row r="99" spans="1:6" x14ac:dyDescent="0.2">
      <c r="A99" s="8"/>
      <c r="B99" s="9"/>
    </row>
    <row r="100" spans="1:6" x14ac:dyDescent="0.2">
      <c r="A100" s="8"/>
      <c r="B100" s="9"/>
    </row>
    <row r="101" spans="1:6" x14ac:dyDescent="0.2">
      <c r="A101" s="8"/>
      <c r="B101" s="9"/>
    </row>
    <row r="102" spans="1:6" x14ac:dyDescent="0.2">
      <c r="A102" s="8"/>
      <c r="B102" s="9"/>
    </row>
    <row r="103" spans="1:6" x14ac:dyDescent="0.2">
      <c r="A103" s="8"/>
      <c r="B103" s="9"/>
    </row>
    <row r="104" spans="1:6" x14ac:dyDescent="0.2">
      <c r="A104" s="8"/>
      <c r="B104" s="9"/>
    </row>
    <row r="105" spans="1:6" x14ac:dyDescent="0.2">
      <c r="A105" s="8"/>
      <c r="B105" s="9"/>
    </row>
    <row r="106" spans="1:6" x14ac:dyDescent="0.2">
      <c r="A106" s="8"/>
      <c r="B106" s="9"/>
    </row>
    <row r="107" spans="1:6" x14ac:dyDescent="0.2">
      <c r="A107" s="8"/>
      <c r="B107" s="9"/>
      <c r="F107" s="10"/>
    </row>
    <row r="108" spans="1:6" x14ac:dyDescent="0.2">
      <c r="A108" s="8"/>
      <c r="B108" s="9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AD4DB-7909-45B2-B3D5-C6ECEBFBBF0B}">
  <dimension ref="A1:I25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46294</v>
      </c>
      <c r="B2" s="9">
        <v>0.69136574074074075</v>
      </c>
      <c r="C2" s="6">
        <v>1.808594</v>
      </c>
      <c r="D2" s="4">
        <v>778</v>
      </c>
      <c r="E2" s="4" t="s">
        <v>24</v>
      </c>
      <c r="F2" s="4" t="s">
        <v>24</v>
      </c>
      <c r="G2" s="4" t="s">
        <v>24</v>
      </c>
      <c r="I2">
        <f>AVERAGE(D2:D21)</f>
        <v>776.7</v>
      </c>
    </row>
    <row r="3" spans="1:9" x14ac:dyDescent="0.2">
      <c r="A3" s="8">
        <v>46294</v>
      </c>
      <c r="B3" s="9">
        <v>0.69136574074074075</v>
      </c>
      <c r="C3" s="6">
        <v>2.28125</v>
      </c>
      <c r="D3" s="4">
        <v>776</v>
      </c>
      <c r="E3" s="4" t="s">
        <v>24</v>
      </c>
      <c r="F3" s="4" t="s">
        <v>24</v>
      </c>
      <c r="G3" s="4" t="s">
        <v>24</v>
      </c>
      <c r="I3">
        <f>91*(1023-I2)/I2</f>
        <v>28.857087678640394</v>
      </c>
    </row>
    <row r="4" spans="1:9" x14ac:dyDescent="0.2">
      <c r="A4" s="8">
        <v>46294</v>
      </c>
      <c r="B4" s="9">
        <v>0.69137731481481479</v>
      </c>
      <c r="C4" s="6">
        <v>2.78125</v>
      </c>
      <c r="D4" s="4">
        <v>778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46294</v>
      </c>
      <c r="B5" s="9">
        <v>0.69137731481481479</v>
      </c>
      <c r="C5" s="6">
        <v>3.3007810000000002</v>
      </c>
      <c r="D5" s="4">
        <v>774</v>
      </c>
      <c r="E5" s="4" t="s">
        <v>29</v>
      </c>
      <c r="F5" s="10">
        <v>0.57999999999999996</v>
      </c>
      <c r="G5" s="4" t="s">
        <v>26</v>
      </c>
    </row>
    <row r="6" spans="1:9" x14ac:dyDescent="0.2">
      <c r="A6" s="8">
        <v>46294</v>
      </c>
      <c r="B6" s="9">
        <v>0.69138888888888894</v>
      </c>
      <c r="C6" s="6">
        <v>3.8203130000000001</v>
      </c>
      <c r="D6" s="4">
        <v>775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46294</v>
      </c>
      <c r="B7" s="9">
        <v>0.69138888888888894</v>
      </c>
      <c r="C7" s="6">
        <v>4.3203129999999996</v>
      </c>
      <c r="D7" s="4">
        <v>777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46294</v>
      </c>
      <c r="B8" s="9">
        <v>0.69140046296296298</v>
      </c>
      <c r="C8" s="6">
        <v>4.8203129999999996</v>
      </c>
      <c r="D8" s="4">
        <v>775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46294</v>
      </c>
      <c r="B9" s="9">
        <v>0.69140046296296298</v>
      </c>
      <c r="C9" s="6">
        <v>5.3242190000000003</v>
      </c>
      <c r="D9" s="4">
        <v>777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46294</v>
      </c>
      <c r="B10" s="9">
        <v>0.69141203703703702</v>
      </c>
      <c r="C10" s="6">
        <v>5.984375</v>
      </c>
      <c r="D10" s="4">
        <v>775</v>
      </c>
      <c r="E10" s="4" t="s">
        <v>29</v>
      </c>
      <c r="F10" s="10">
        <v>0.57999999999999996</v>
      </c>
      <c r="G10" s="4" t="s">
        <v>26</v>
      </c>
    </row>
    <row r="11" spans="1:9" x14ac:dyDescent="0.2">
      <c r="A11" s="8">
        <v>46294</v>
      </c>
      <c r="B11" s="9">
        <v>0.69141203703703702</v>
      </c>
      <c r="C11" s="6">
        <v>6.3671879999999996</v>
      </c>
      <c r="D11" s="4">
        <v>774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46294</v>
      </c>
      <c r="B12" s="9">
        <v>0.69142361111111106</v>
      </c>
      <c r="C12" s="6">
        <v>6.8671879999999996</v>
      </c>
      <c r="D12" s="4">
        <v>778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46294</v>
      </c>
      <c r="B13" s="9">
        <v>0.69142361111111106</v>
      </c>
      <c r="C13" s="6">
        <v>7.3632809999999997</v>
      </c>
      <c r="D13" s="4">
        <v>775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46294</v>
      </c>
      <c r="B14" s="9">
        <v>0.69143518518518521</v>
      </c>
      <c r="C14" s="6">
        <v>7.8671879999999996</v>
      </c>
      <c r="D14" s="4">
        <v>776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46294</v>
      </c>
      <c r="B15" s="9">
        <v>0.69143518518518521</v>
      </c>
      <c r="C15" s="6">
        <v>8.3867189999999994</v>
      </c>
      <c r="D15" s="4">
        <v>775</v>
      </c>
      <c r="E15" s="4" t="s">
        <v>29</v>
      </c>
      <c r="F15" s="10">
        <v>0.57999999999999996</v>
      </c>
      <c r="G15" s="4" t="s">
        <v>26</v>
      </c>
    </row>
    <row r="16" spans="1:9" x14ac:dyDescent="0.2">
      <c r="A16" s="8">
        <v>46294</v>
      </c>
      <c r="B16" s="9">
        <v>0.69144675925925925</v>
      </c>
      <c r="C16" s="6">
        <v>8.9101560000000006</v>
      </c>
      <c r="D16" s="4">
        <v>779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46294</v>
      </c>
      <c r="B17" s="9">
        <v>0.69144675925925925</v>
      </c>
      <c r="C17" s="6">
        <v>9.4101560000000006</v>
      </c>
      <c r="D17" s="4">
        <v>776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46294</v>
      </c>
      <c r="B18" s="9">
        <v>0.69145833333333329</v>
      </c>
      <c r="C18" s="6">
        <v>9.9101560000000006</v>
      </c>
      <c r="D18" s="4">
        <v>779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46294</v>
      </c>
      <c r="B19" s="9">
        <v>0.69145833333333329</v>
      </c>
      <c r="C19" s="6">
        <v>10.414059999999999</v>
      </c>
      <c r="D19" s="4">
        <v>778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46294</v>
      </c>
      <c r="B20" s="9">
        <v>0.69146990740740744</v>
      </c>
      <c r="C20" s="6">
        <v>10.929690000000001</v>
      </c>
      <c r="D20" s="4">
        <v>779</v>
      </c>
      <c r="E20" s="4" t="s">
        <v>29</v>
      </c>
      <c r="F20" s="10">
        <v>0.57999999999999996</v>
      </c>
      <c r="G20" s="4" t="s">
        <v>26</v>
      </c>
    </row>
    <row r="21" spans="1:7" x14ac:dyDescent="0.2">
      <c r="A21" s="8">
        <v>46294</v>
      </c>
      <c r="B21" s="9">
        <v>0.69146990740740744</v>
      </c>
      <c r="C21" s="6">
        <v>11.45703</v>
      </c>
      <c r="D21" s="4">
        <v>780</v>
      </c>
      <c r="E21" s="4" t="s">
        <v>24</v>
      </c>
      <c r="F21" s="4" t="s">
        <v>24</v>
      </c>
      <c r="G21" s="4" t="s">
        <v>24</v>
      </c>
    </row>
    <row r="22" spans="1:7" x14ac:dyDescent="0.2">
      <c r="A22" s="8"/>
      <c r="B22" s="9"/>
    </row>
    <row r="23" spans="1:7" x14ac:dyDescent="0.2">
      <c r="A23" s="8"/>
      <c r="B23" s="9"/>
    </row>
    <row r="24" spans="1:7" x14ac:dyDescent="0.2">
      <c r="A24" s="8"/>
      <c r="B24" s="9"/>
    </row>
    <row r="25" spans="1:7" x14ac:dyDescent="0.2">
      <c r="A25" s="8"/>
      <c r="B25" s="9"/>
      <c r="F25" s="10"/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07D05-CF41-48E4-B4C9-74EB80249D2E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46294</v>
      </c>
      <c r="B2" s="9">
        <v>0.69332175925925921</v>
      </c>
      <c r="C2" s="6">
        <v>1.816406</v>
      </c>
      <c r="D2" s="4">
        <v>785</v>
      </c>
      <c r="E2" s="4" t="s">
        <v>24</v>
      </c>
      <c r="F2" s="4" t="s">
        <v>24</v>
      </c>
      <c r="G2" s="4" t="s">
        <v>24</v>
      </c>
      <c r="I2">
        <f>AVERAGE(D2:D21)</f>
        <v>785.5</v>
      </c>
    </row>
    <row r="3" spans="1:9" x14ac:dyDescent="0.2">
      <c r="A3" s="8">
        <v>46294</v>
      </c>
      <c r="B3" s="9">
        <v>0.69333333333333336</v>
      </c>
      <c r="C3" s="6">
        <v>2.2890630000000001</v>
      </c>
      <c r="D3" s="4">
        <v>788</v>
      </c>
      <c r="E3" s="4" t="s">
        <v>24</v>
      </c>
      <c r="F3" s="4" t="s">
        <v>24</v>
      </c>
      <c r="G3" s="4" t="s">
        <v>24</v>
      </c>
      <c r="I3">
        <f>91*(1023-I2)/I2</f>
        <v>27.514322087842139</v>
      </c>
    </row>
    <row r="4" spans="1:9" x14ac:dyDescent="0.2">
      <c r="A4" s="8">
        <v>46294</v>
      </c>
      <c r="B4" s="9">
        <v>0.69333333333333336</v>
      </c>
      <c r="C4" s="6">
        <v>2.7890630000000001</v>
      </c>
      <c r="D4" s="4">
        <v>786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46294</v>
      </c>
      <c r="B5" s="9">
        <v>0.6933449074074074</v>
      </c>
      <c r="C5" s="6">
        <v>3.3085939999999998</v>
      </c>
      <c r="D5" s="4">
        <v>787</v>
      </c>
      <c r="E5" s="4" t="s">
        <v>29</v>
      </c>
      <c r="F5" s="10">
        <v>0.56999999999999995</v>
      </c>
      <c r="G5" s="4" t="s">
        <v>26</v>
      </c>
    </row>
    <row r="6" spans="1:9" x14ac:dyDescent="0.2">
      <c r="A6" s="8">
        <v>46294</v>
      </c>
      <c r="B6" s="9">
        <v>0.6933449074074074</v>
      </c>
      <c r="C6" s="6">
        <v>3.828125</v>
      </c>
      <c r="D6" s="4">
        <v>787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46294</v>
      </c>
      <c r="B7" s="9">
        <v>0.69335648148148143</v>
      </c>
      <c r="C7" s="6">
        <v>4.328125</v>
      </c>
      <c r="D7" s="4">
        <v>785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46294</v>
      </c>
      <c r="B8" s="9">
        <v>0.69335648148148143</v>
      </c>
      <c r="C8" s="6">
        <v>4.8320309999999997</v>
      </c>
      <c r="D8" s="4">
        <v>785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46294</v>
      </c>
      <c r="B9" s="9">
        <v>0.69336805555555558</v>
      </c>
      <c r="C9" s="6">
        <v>5.3320309999999997</v>
      </c>
      <c r="D9" s="4">
        <v>786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46294</v>
      </c>
      <c r="B10" s="9">
        <v>0.69336805555555558</v>
      </c>
      <c r="C10" s="6">
        <v>5.8515629999999996</v>
      </c>
      <c r="D10" s="4">
        <v>784</v>
      </c>
      <c r="E10" s="4" t="s">
        <v>29</v>
      </c>
      <c r="F10" s="10">
        <v>0.56999999999999995</v>
      </c>
      <c r="G10" s="4" t="s">
        <v>26</v>
      </c>
    </row>
    <row r="11" spans="1:9" x14ac:dyDescent="0.2">
      <c r="A11" s="8">
        <v>46294</v>
      </c>
      <c r="B11" s="9">
        <v>0.69337962962962962</v>
      </c>
      <c r="C11" s="6">
        <v>6.3710940000000003</v>
      </c>
      <c r="D11" s="4">
        <v>785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46294</v>
      </c>
      <c r="B12" s="9">
        <v>0.69337962962962962</v>
      </c>
      <c r="C12" s="6">
        <v>6.8710940000000003</v>
      </c>
      <c r="D12" s="4">
        <v>784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46294</v>
      </c>
      <c r="B13" s="9">
        <v>0.69339120370370366</v>
      </c>
      <c r="C13" s="6">
        <v>7.375</v>
      </c>
      <c r="D13" s="4">
        <v>786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46294</v>
      </c>
      <c r="B14" s="9">
        <v>0.69339120370370366</v>
      </c>
      <c r="C14" s="6">
        <v>7.875</v>
      </c>
      <c r="D14" s="4">
        <v>783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46294</v>
      </c>
      <c r="B15" s="9">
        <v>0.69340277777777781</v>
      </c>
      <c r="C15" s="6">
        <v>8.3867189999999994</v>
      </c>
      <c r="D15" s="4">
        <v>784</v>
      </c>
      <c r="E15" s="4" t="s">
        <v>28</v>
      </c>
      <c r="F15" s="4" t="s">
        <v>28</v>
      </c>
      <c r="G15" s="4">
        <v>21</v>
      </c>
    </row>
    <row r="16" spans="1:9" x14ac:dyDescent="0.2">
      <c r="A16" s="8">
        <v>46294</v>
      </c>
      <c r="B16" s="9">
        <v>0.69340277777777781</v>
      </c>
      <c r="C16" s="6">
        <v>8.9179689999999994</v>
      </c>
      <c r="D16" s="4">
        <v>784</v>
      </c>
      <c r="E16" s="4" t="s">
        <v>28</v>
      </c>
      <c r="F16" s="4" t="s">
        <v>28</v>
      </c>
      <c r="G16" s="4">
        <v>3088</v>
      </c>
    </row>
    <row r="17" spans="1:7" x14ac:dyDescent="0.2">
      <c r="A17" s="8">
        <v>46294</v>
      </c>
      <c r="B17" s="9">
        <v>0.69341435185185185</v>
      </c>
      <c r="C17" s="6">
        <v>9.4375</v>
      </c>
      <c r="D17" s="4">
        <v>787</v>
      </c>
      <c r="E17" s="4" t="s">
        <v>28</v>
      </c>
      <c r="F17" s="4" t="s">
        <v>28</v>
      </c>
      <c r="G17" s="4">
        <v>4112</v>
      </c>
    </row>
    <row r="18" spans="1:7" x14ac:dyDescent="0.2">
      <c r="A18" s="8">
        <v>46294</v>
      </c>
      <c r="B18" s="9">
        <v>0.69341435185185185</v>
      </c>
      <c r="C18" s="6">
        <v>9.9765630000000005</v>
      </c>
      <c r="D18" s="4">
        <v>787</v>
      </c>
      <c r="E18" s="4" t="s">
        <v>29</v>
      </c>
      <c r="F18" s="10">
        <v>0.56999999999999995</v>
      </c>
      <c r="G18" s="4" t="s">
        <v>26</v>
      </c>
    </row>
    <row r="19" spans="1:7" x14ac:dyDescent="0.2">
      <c r="A19" s="8">
        <v>46294</v>
      </c>
      <c r="B19" s="9">
        <v>0.69342592592592589</v>
      </c>
      <c r="C19" s="6">
        <v>10.496090000000001</v>
      </c>
      <c r="D19" s="4">
        <v>786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46294</v>
      </c>
      <c r="B20" s="9">
        <v>0.69342592592592589</v>
      </c>
      <c r="C20" s="6">
        <v>10.996090000000001</v>
      </c>
      <c r="D20" s="4">
        <v>786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46294</v>
      </c>
      <c r="B21" s="9">
        <v>0.69343750000000004</v>
      </c>
      <c r="C21" s="6">
        <v>11.5</v>
      </c>
      <c r="D21" s="4">
        <v>785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E69FB-8793-4F2E-8923-E16AF6B71086}">
  <dimension ref="A1:I22"/>
  <sheetViews>
    <sheetView tabSelected="1"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46294</v>
      </c>
      <c r="B2" s="9">
        <v>0.69678240740740738</v>
      </c>
      <c r="C2" s="6">
        <v>1.8046880000000001</v>
      </c>
      <c r="D2" s="4">
        <v>793</v>
      </c>
      <c r="E2" s="4" t="s">
        <v>24</v>
      </c>
      <c r="F2" s="4" t="s">
        <v>24</v>
      </c>
      <c r="G2" s="4" t="s">
        <v>24</v>
      </c>
      <c r="I2">
        <f>AVERAGE(D2:D21)</f>
        <v>795.75</v>
      </c>
    </row>
    <row r="3" spans="1:9" x14ac:dyDescent="0.2">
      <c r="A3" s="8">
        <v>46294</v>
      </c>
      <c r="B3" s="9">
        <v>0.69679398148148153</v>
      </c>
      <c r="C3" s="6">
        <v>2.28125</v>
      </c>
      <c r="D3" s="4">
        <v>796</v>
      </c>
      <c r="E3" s="4" t="s">
        <v>24</v>
      </c>
      <c r="F3" s="4" t="s">
        <v>24</v>
      </c>
      <c r="G3" s="4" t="s">
        <v>24</v>
      </c>
      <c r="I3">
        <f>91*(1023-I2)/I2</f>
        <v>25.987747408105562</v>
      </c>
    </row>
    <row r="4" spans="1:9" x14ac:dyDescent="0.2">
      <c r="A4" s="8">
        <v>46294</v>
      </c>
      <c r="B4" s="9">
        <v>0.69679398148148153</v>
      </c>
      <c r="C4" s="6">
        <v>2.7851560000000002</v>
      </c>
      <c r="D4" s="4">
        <v>793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46294</v>
      </c>
      <c r="B5" s="9">
        <v>0.69680555555555557</v>
      </c>
      <c r="C5" s="6">
        <v>3.3007810000000002</v>
      </c>
      <c r="D5" s="4">
        <v>796</v>
      </c>
      <c r="E5" s="4" t="s">
        <v>27</v>
      </c>
      <c r="F5" s="10">
        <v>0.56999999999999995</v>
      </c>
      <c r="G5" s="4" t="s">
        <v>26</v>
      </c>
    </row>
    <row r="6" spans="1:9" x14ac:dyDescent="0.2">
      <c r="A6" s="8">
        <v>46294</v>
      </c>
      <c r="B6" s="9">
        <v>0.69681712962962961</v>
      </c>
      <c r="C6" s="6">
        <v>3.8242189999999998</v>
      </c>
      <c r="D6" s="4">
        <v>797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46294</v>
      </c>
      <c r="B7" s="9">
        <v>0.69681712962962961</v>
      </c>
      <c r="C7" s="6">
        <v>4.3242190000000003</v>
      </c>
      <c r="D7" s="4">
        <v>796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46294</v>
      </c>
      <c r="B8" s="9">
        <v>0.69682870370370376</v>
      </c>
      <c r="C8" s="6">
        <v>4.8242190000000003</v>
      </c>
      <c r="D8" s="4">
        <v>792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46294</v>
      </c>
      <c r="B9" s="9">
        <v>0.69682870370370376</v>
      </c>
      <c r="C9" s="6">
        <v>5.3242190000000003</v>
      </c>
      <c r="D9" s="4">
        <v>796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46294</v>
      </c>
      <c r="B10" s="9">
        <v>0.69684027777777779</v>
      </c>
      <c r="C10" s="6">
        <v>5.84375</v>
      </c>
      <c r="D10" s="4">
        <v>797</v>
      </c>
      <c r="E10" s="4" t="s">
        <v>27</v>
      </c>
      <c r="F10" s="10">
        <v>0.56999999999999995</v>
      </c>
      <c r="G10" s="4" t="s">
        <v>26</v>
      </c>
    </row>
    <row r="11" spans="1:9" x14ac:dyDescent="0.2">
      <c r="A11" s="8">
        <v>46294</v>
      </c>
      <c r="B11" s="9">
        <v>0.69684027777777779</v>
      </c>
      <c r="C11" s="6">
        <v>6.3671879999999996</v>
      </c>
      <c r="D11" s="4">
        <v>796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46294</v>
      </c>
      <c r="B12" s="9">
        <v>0.69685185185185183</v>
      </c>
      <c r="C12" s="6">
        <v>6.8671879999999996</v>
      </c>
      <c r="D12" s="4">
        <v>796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46294</v>
      </c>
      <c r="B13" s="9">
        <v>0.69685185185185183</v>
      </c>
      <c r="C13" s="6">
        <v>7.3671879999999996</v>
      </c>
      <c r="D13" s="4">
        <v>796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46294</v>
      </c>
      <c r="B14" s="9">
        <v>0.69686342592592587</v>
      </c>
      <c r="C14" s="6">
        <v>7.8671879999999996</v>
      </c>
      <c r="D14" s="4">
        <v>796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46294</v>
      </c>
      <c r="B15" s="9">
        <v>0.69686342592592587</v>
      </c>
      <c r="C15" s="6">
        <v>8.3867189999999994</v>
      </c>
      <c r="D15" s="4">
        <v>797</v>
      </c>
      <c r="E15" s="4" t="s">
        <v>27</v>
      </c>
      <c r="F15" s="10">
        <v>0.56999999999999995</v>
      </c>
      <c r="G15" s="4" t="s">
        <v>26</v>
      </c>
    </row>
    <row r="16" spans="1:9" x14ac:dyDescent="0.2">
      <c r="A16" s="8">
        <v>46294</v>
      </c>
      <c r="B16" s="9">
        <v>0.69687500000000002</v>
      </c>
      <c r="C16" s="6">
        <v>8.90625</v>
      </c>
      <c r="D16" s="4">
        <v>796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46294</v>
      </c>
      <c r="B17" s="9">
        <v>0.69687500000000002</v>
      </c>
      <c r="C17" s="6">
        <v>9.4101560000000006</v>
      </c>
      <c r="D17" s="4">
        <v>796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46294</v>
      </c>
      <c r="B18" s="9">
        <v>0.69688657407407406</v>
      </c>
      <c r="C18" s="6">
        <v>9.9101560000000006</v>
      </c>
      <c r="D18" s="4">
        <v>796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46294</v>
      </c>
      <c r="B19" s="9">
        <v>0.69688657407407406</v>
      </c>
      <c r="C19" s="6">
        <v>10.410159999999999</v>
      </c>
      <c r="D19" s="4">
        <v>796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46294</v>
      </c>
      <c r="B20" s="9">
        <v>0.6968981481481481</v>
      </c>
      <c r="C20" s="6">
        <v>10.929690000000001</v>
      </c>
      <c r="D20" s="4">
        <v>797</v>
      </c>
      <c r="E20" s="4" t="s">
        <v>27</v>
      </c>
      <c r="F20" s="10">
        <v>0.56999999999999995</v>
      </c>
      <c r="G20" s="4" t="s">
        <v>26</v>
      </c>
    </row>
    <row r="21" spans="1:7" x14ac:dyDescent="0.2">
      <c r="A21" s="8">
        <v>46294</v>
      </c>
      <c r="B21" s="9">
        <v>0.6968981481481481</v>
      </c>
      <c r="C21" s="6">
        <v>11.45313</v>
      </c>
      <c r="D21" s="4">
        <v>797</v>
      </c>
      <c r="E21" s="4" t="s">
        <v>24</v>
      </c>
      <c r="F21" s="4" t="s">
        <v>24</v>
      </c>
      <c r="G21" s="4" t="s">
        <v>24</v>
      </c>
    </row>
    <row r="22" spans="1:7" x14ac:dyDescent="0.2">
      <c r="A22" s="8"/>
      <c r="B22" s="9"/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78A74-100F-4E9E-99A2-64C857DA916D}">
  <dimension ref="A1:I26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46294</v>
      </c>
      <c r="B2" s="9">
        <v>0.69496527777777772</v>
      </c>
      <c r="C2" s="6">
        <v>1.8125</v>
      </c>
      <c r="D2" s="4">
        <v>840</v>
      </c>
      <c r="E2" s="4" t="s">
        <v>24</v>
      </c>
      <c r="F2" s="4" t="s">
        <v>24</v>
      </c>
      <c r="G2" s="4" t="s">
        <v>24</v>
      </c>
      <c r="I2">
        <f>AVERAGE(D2:D21)</f>
        <v>828.15789473684208</v>
      </c>
    </row>
    <row r="3" spans="1:9" x14ac:dyDescent="0.2">
      <c r="A3" s="8">
        <v>46294</v>
      </c>
      <c r="B3" s="9">
        <v>0.69496527777777772</v>
      </c>
      <c r="C3" s="6">
        <v>2.2851560000000002</v>
      </c>
      <c r="D3" s="4">
        <v>836</v>
      </c>
      <c r="E3" s="4" t="s">
        <v>24</v>
      </c>
      <c r="F3" s="4" t="s">
        <v>24</v>
      </c>
      <c r="G3" s="4" t="s">
        <v>24</v>
      </c>
      <c r="I3">
        <f>91*(1023-I2)/I2</f>
        <v>21.409723546234513</v>
      </c>
    </row>
    <row r="4" spans="1:9" x14ac:dyDescent="0.2">
      <c r="A4" s="8">
        <v>46294</v>
      </c>
      <c r="B4" s="9">
        <v>0.69497685185185187</v>
      </c>
      <c r="C4" s="6">
        <v>2.7851560000000002</v>
      </c>
      <c r="D4" s="4">
        <v>834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46294</v>
      </c>
      <c r="B5" s="9">
        <v>0.69497685185185187</v>
      </c>
      <c r="C5" s="6">
        <v>3.3085939999999998</v>
      </c>
      <c r="D5" s="4">
        <v>831</v>
      </c>
      <c r="E5" s="4" t="s">
        <v>27</v>
      </c>
      <c r="F5" s="10">
        <v>0.57999999999999996</v>
      </c>
      <c r="G5" s="4" t="s">
        <v>26</v>
      </c>
    </row>
    <row r="6" spans="1:9" x14ac:dyDescent="0.2">
      <c r="A6" s="8">
        <v>46294</v>
      </c>
      <c r="B6" s="9">
        <v>0.69498842592592591</v>
      </c>
      <c r="C6" s="6">
        <v>3.8320310000000002</v>
      </c>
      <c r="D6" s="4">
        <v>830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46294</v>
      </c>
      <c r="B7" s="9">
        <v>0.69498842592592591</v>
      </c>
      <c r="C7" s="6">
        <v>4.3320309999999997</v>
      </c>
      <c r="D7" s="4">
        <v>828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46294</v>
      </c>
      <c r="B8" s="9">
        <v>0.69499999999999995</v>
      </c>
      <c r="C8" s="6">
        <v>4.828125</v>
      </c>
      <c r="D8" s="4">
        <v>829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46294</v>
      </c>
      <c r="B9" s="9">
        <v>0.69499999999999995</v>
      </c>
      <c r="C9" s="6">
        <v>5.328125</v>
      </c>
      <c r="D9" s="4">
        <v>828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46294</v>
      </c>
      <c r="B10" s="9">
        <v>0.6950115740740741</v>
      </c>
      <c r="C10" s="6">
        <v>5.8515629999999996</v>
      </c>
      <c r="D10" s="4">
        <v>829</v>
      </c>
      <c r="E10" s="4" t="s">
        <v>27</v>
      </c>
      <c r="F10" s="10">
        <v>0.57999999999999996</v>
      </c>
      <c r="G10" s="4" t="s">
        <v>26</v>
      </c>
    </row>
    <row r="11" spans="1:9" x14ac:dyDescent="0.2">
      <c r="A11" s="8">
        <v>46294</v>
      </c>
      <c r="B11" s="9">
        <v>0.6950115740740741</v>
      </c>
      <c r="C11" s="6">
        <v>6.3710940000000003</v>
      </c>
      <c r="D11" s="4">
        <v>826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46294</v>
      </c>
      <c r="B12" s="9">
        <v>0.69502314814814814</v>
      </c>
      <c r="C12" s="6">
        <v>6.875</v>
      </c>
      <c r="D12" s="4">
        <v>825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46294</v>
      </c>
      <c r="B13" s="9">
        <v>0.69502314814814814</v>
      </c>
      <c r="C13" s="6">
        <v>7.375</v>
      </c>
      <c r="D13" s="4">
        <v>826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46294</v>
      </c>
      <c r="B14" s="9">
        <v>0.69503472222222218</v>
      </c>
      <c r="C14" s="6">
        <v>7.875</v>
      </c>
      <c r="D14" s="4">
        <v>824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46294</v>
      </c>
      <c r="B15" s="9">
        <v>0.69503472222222218</v>
      </c>
      <c r="C15" s="6">
        <v>8.3945310000000006</v>
      </c>
      <c r="D15" s="4">
        <v>826</v>
      </c>
      <c r="E15" s="4" t="s">
        <v>27</v>
      </c>
      <c r="F15" s="10">
        <v>0.57999999999999996</v>
      </c>
      <c r="G15" s="4" t="s">
        <v>26</v>
      </c>
    </row>
    <row r="16" spans="1:9" x14ac:dyDescent="0.2">
      <c r="A16" s="8">
        <v>46294</v>
      </c>
      <c r="B16" s="9">
        <v>0.69504629629629633</v>
      </c>
      <c r="C16" s="6">
        <v>8.9140630000000005</v>
      </c>
      <c r="D16" s="4">
        <v>823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46294</v>
      </c>
      <c r="B17" s="9">
        <v>0.69504629629629633</v>
      </c>
      <c r="C17" s="6">
        <v>9.4179689999999994</v>
      </c>
      <c r="D17" s="4">
        <v>824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46294</v>
      </c>
      <c r="B18" s="9">
        <v>0.69505787037037037</v>
      </c>
      <c r="C18" s="6">
        <v>9.9179689999999994</v>
      </c>
      <c r="D18" s="4">
        <v>826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46294</v>
      </c>
      <c r="B19" s="9">
        <v>0.69505787037037037</v>
      </c>
      <c r="C19" s="6">
        <v>10.41797</v>
      </c>
      <c r="D19" s="4">
        <v>824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46294</v>
      </c>
      <c r="B20" s="9">
        <v>0.69506944444444441</v>
      </c>
      <c r="C20" s="6">
        <v>10.933590000000001</v>
      </c>
      <c r="D20" s="4">
        <v>826</v>
      </c>
      <c r="E20" s="4" t="s">
        <v>28</v>
      </c>
      <c r="F20" s="4" t="s">
        <v>28</v>
      </c>
      <c r="G20" s="4">
        <v>21</v>
      </c>
    </row>
    <row r="21" spans="1:7" x14ac:dyDescent="0.2">
      <c r="A21" s="8"/>
      <c r="B21" s="9"/>
    </row>
    <row r="22" spans="1:7" x14ac:dyDescent="0.2">
      <c r="A22" s="8"/>
      <c r="B22" s="9"/>
    </row>
    <row r="23" spans="1:7" x14ac:dyDescent="0.2">
      <c r="A23" s="8"/>
      <c r="B23" s="9"/>
      <c r="F23" s="10"/>
    </row>
    <row r="24" spans="1:7" x14ac:dyDescent="0.2">
      <c r="A24" s="8"/>
      <c r="B24" s="9"/>
    </row>
    <row r="25" spans="1:7" x14ac:dyDescent="0.2">
      <c r="A25" s="8"/>
      <c r="B25" s="9"/>
    </row>
    <row r="26" spans="1:7" x14ac:dyDescent="0.2">
      <c r="A26" s="8"/>
      <c r="B26" s="9"/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8E672-372A-4CED-9304-A73E8DBEAF21}">
  <dimension ref="A1:I25"/>
  <sheetViews>
    <sheetView workbookViewId="0">
      <selection activeCell="L27" sqref="L27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46294</v>
      </c>
      <c r="B2" s="9">
        <v>0.69817129629629626</v>
      </c>
      <c r="C2" s="6">
        <v>1.7890630000000001</v>
      </c>
      <c r="D2" s="4">
        <v>781</v>
      </c>
      <c r="E2" s="4" t="s">
        <v>24</v>
      </c>
      <c r="F2" s="4" t="s">
        <v>24</v>
      </c>
      <c r="G2" s="4" t="s">
        <v>24</v>
      </c>
      <c r="I2">
        <f>AVERAGE(D2:D21)</f>
        <v>784</v>
      </c>
    </row>
    <row r="3" spans="1:9" x14ac:dyDescent="0.2">
      <c r="A3" s="8">
        <v>46294</v>
      </c>
      <c r="B3" s="9">
        <v>0.69818287037037041</v>
      </c>
      <c r="C3" s="6">
        <v>2.2695310000000002</v>
      </c>
      <c r="D3" s="4">
        <v>781</v>
      </c>
      <c r="E3" s="4" t="s">
        <v>24</v>
      </c>
      <c r="F3" s="4" t="s">
        <v>24</v>
      </c>
      <c r="G3" s="4" t="s">
        <v>24</v>
      </c>
      <c r="I3">
        <f>91*(1023-I2)/I2</f>
        <v>27.741071428571427</v>
      </c>
    </row>
    <row r="4" spans="1:9" x14ac:dyDescent="0.2">
      <c r="A4" s="8">
        <v>46294</v>
      </c>
      <c r="B4" s="9">
        <v>0.69818287037037041</v>
      </c>
      <c r="C4" s="6">
        <v>2.7734380000000001</v>
      </c>
      <c r="D4" s="4">
        <v>780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46294</v>
      </c>
      <c r="B5" s="9">
        <v>0.69819444444444445</v>
      </c>
      <c r="C5" s="6">
        <v>3.2929689999999998</v>
      </c>
      <c r="D5" s="4">
        <v>784</v>
      </c>
      <c r="E5" s="4" t="s">
        <v>29</v>
      </c>
      <c r="F5" s="10">
        <v>0.56000000000000005</v>
      </c>
      <c r="G5" s="4" t="s">
        <v>26</v>
      </c>
    </row>
    <row r="6" spans="1:9" x14ac:dyDescent="0.2">
      <c r="A6" s="8">
        <v>46294</v>
      </c>
      <c r="B6" s="9">
        <v>0.69819444444444445</v>
      </c>
      <c r="C6" s="6">
        <v>3.8164060000000002</v>
      </c>
      <c r="D6" s="4">
        <v>783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46294</v>
      </c>
      <c r="B7" s="9">
        <v>0.69820601851851849</v>
      </c>
      <c r="C7" s="6">
        <v>4.3125</v>
      </c>
      <c r="D7" s="4">
        <v>783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46294</v>
      </c>
      <c r="B8" s="9">
        <v>0.69820601851851849</v>
      </c>
      <c r="C8" s="6">
        <v>4.8164059999999997</v>
      </c>
      <c r="D8" s="4">
        <v>785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46294</v>
      </c>
      <c r="B9" s="9">
        <v>0.69821759259259264</v>
      </c>
      <c r="C9" s="6">
        <v>5.3164059999999997</v>
      </c>
      <c r="D9" s="4">
        <v>780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46294</v>
      </c>
      <c r="B10" s="9">
        <v>0.69821759259259264</v>
      </c>
      <c r="C10" s="6">
        <v>5.8320309999999997</v>
      </c>
      <c r="D10" s="4">
        <v>787</v>
      </c>
      <c r="E10" s="4" t="s">
        <v>28</v>
      </c>
      <c r="F10" s="4" t="s">
        <v>28</v>
      </c>
      <c r="G10" s="4">
        <v>21</v>
      </c>
    </row>
    <row r="11" spans="1:9" x14ac:dyDescent="0.2">
      <c r="A11" s="8">
        <v>46294</v>
      </c>
      <c r="B11" s="9">
        <v>0.69822916666666668</v>
      </c>
      <c r="C11" s="6">
        <v>6.3476559999999997</v>
      </c>
      <c r="D11" s="4">
        <v>787</v>
      </c>
      <c r="E11" s="4" t="s">
        <v>28</v>
      </c>
      <c r="F11" s="4" t="s">
        <v>28</v>
      </c>
      <c r="G11" s="4">
        <v>4112</v>
      </c>
    </row>
    <row r="12" spans="1:9" x14ac:dyDescent="0.2">
      <c r="A12" s="8">
        <v>46294</v>
      </c>
      <c r="B12" s="9">
        <v>0.69822916666666668</v>
      </c>
      <c r="C12" s="6">
        <v>6.8789059999999997</v>
      </c>
      <c r="D12" s="4">
        <v>785</v>
      </c>
      <c r="E12" s="4" t="s">
        <v>28</v>
      </c>
      <c r="F12" s="4" t="s">
        <v>28</v>
      </c>
      <c r="G12" s="4">
        <v>4112</v>
      </c>
    </row>
    <row r="13" spans="1:9" x14ac:dyDescent="0.2">
      <c r="A13" s="8">
        <v>46294</v>
      </c>
      <c r="B13" s="9">
        <v>0.69824074074074072</v>
      </c>
      <c r="C13" s="6">
        <v>7.4101559999999997</v>
      </c>
      <c r="D13" s="4">
        <v>789</v>
      </c>
      <c r="E13" s="4" t="s">
        <v>29</v>
      </c>
      <c r="F13" s="10">
        <v>0.56000000000000005</v>
      </c>
      <c r="G13" s="4" t="s">
        <v>26</v>
      </c>
    </row>
    <row r="14" spans="1:9" x14ac:dyDescent="0.2">
      <c r="A14" s="8">
        <v>46294</v>
      </c>
      <c r="B14" s="9">
        <v>0.69824074074074072</v>
      </c>
      <c r="C14" s="6">
        <v>7.9414059999999997</v>
      </c>
      <c r="D14" s="4">
        <v>782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46294</v>
      </c>
      <c r="B15" s="9">
        <v>0.69825231481481487</v>
      </c>
      <c r="C15" s="6">
        <v>8.4414060000000006</v>
      </c>
      <c r="D15" s="4">
        <v>784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46294</v>
      </c>
      <c r="B16" s="9">
        <v>0.69825231481481487</v>
      </c>
      <c r="C16" s="6">
        <v>8.9414060000000006</v>
      </c>
      <c r="D16" s="4">
        <v>787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46294</v>
      </c>
      <c r="B17" s="9">
        <v>0.69826388888888891</v>
      </c>
      <c r="C17" s="6">
        <v>9.4414060000000006</v>
      </c>
      <c r="D17" s="4">
        <v>784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46294</v>
      </c>
      <c r="B18" s="9">
        <v>0.69826388888888891</v>
      </c>
      <c r="C18" s="6">
        <v>9.9570310000000006</v>
      </c>
      <c r="D18" s="4">
        <v>783</v>
      </c>
      <c r="E18" s="4" t="s">
        <v>28</v>
      </c>
      <c r="F18" s="4" t="s">
        <v>28</v>
      </c>
      <c r="G18" s="4">
        <v>21</v>
      </c>
    </row>
    <row r="19" spans="1:7" x14ac:dyDescent="0.2">
      <c r="A19" s="8">
        <v>46294</v>
      </c>
      <c r="B19" s="9">
        <v>0.69827546296296295</v>
      </c>
      <c r="C19" s="6">
        <v>10.472659999999999</v>
      </c>
      <c r="D19" s="4">
        <v>785</v>
      </c>
      <c r="E19" s="4" t="s">
        <v>28</v>
      </c>
      <c r="F19" s="4" t="s">
        <v>28</v>
      </c>
      <c r="G19" s="4">
        <v>5136</v>
      </c>
    </row>
    <row r="20" spans="1:7" x14ac:dyDescent="0.2">
      <c r="A20" s="8">
        <v>46294</v>
      </c>
      <c r="B20" s="9">
        <v>0.69827546296296295</v>
      </c>
      <c r="C20" s="6">
        <v>11.003909999999999</v>
      </c>
      <c r="D20" s="4">
        <v>787</v>
      </c>
      <c r="E20" s="4" t="s">
        <v>28</v>
      </c>
      <c r="F20" s="4" t="s">
        <v>28</v>
      </c>
      <c r="G20" s="4">
        <v>4112</v>
      </c>
    </row>
    <row r="21" spans="1:7" x14ac:dyDescent="0.2">
      <c r="A21" s="8">
        <v>46294</v>
      </c>
      <c r="B21" s="9">
        <v>0.69828703703703698</v>
      </c>
      <c r="C21" s="6">
        <v>11.535159999999999</v>
      </c>
      <c r="D21" s="4">
        <v>783</v>
      </c>
      <c r="E21" s="4" t="s">
        <v>29</v>
      </c>
      <c r="F21" s="10">
        <v>0.56000000000000005</v>
      </c>
      <c r="G21" s="4" t="s">
        <v>26</v>
      </c>
    </row>
    <row r="22" spans="1:7" x14ac:dyDescent="0.2">
      <c r="A22" s="8"/>
      <c r="B22" s="9"/>
    </row>
    <row r="23" spans="1:7" x14ac:dyDescent="0.2">
      <c r="A23" s="8"/>
      <c r="B23" s="9"/>
    </row>
    <row r="24" spans="1:7" x14ac:dyDescent="0.2">
      <c r="A24" s="8"/>
      <c r="B24" s="9"/>
    </row>
    <row r="25" spans="1:7" x14ac:dyDescent="0.2">
      <c r="A25" s="8"/>
      <c r="B25" s="9"/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9DF81-47FE-4137-A97F-EB3A69E44855}">
  <dimension ref="A1:I22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46294</v>
      </c>
      <c r="B2" s="9">
        <v>0.69954861111111111</v>
      </c>
      <c r="C2" s="6">
        <v>1.8046880000000001</v>
      </c>
      <c r="D2" s="4">
        <v>797</v>
      </c>
      <c r="E2" s="4" t="s">
        <v>24</v>
      </c>
      <c r="F2" s="4" t="s">
        <v>24</v>
      </c>
      <c r="G2" s="4" t="s">
        <v>24</v>
      </c>
      <c r="I2">
        <f>AVERAGE(D2:D21)</f>
        <v>791</v>
      </c>
    </row>
    <row r="3" spans="1:9" x14ac:dyDescent="0.2">
      <c r="A3" s="8">
        <v>46294</v>
      </c>
      <c r="B3" s="9">
        <v>0.69954861111111111</v>
      </c>
      <c r="C3" s="6">
        <v>2.2734380000000001</v>
      </c>
      <c r="D3" s="4">
        <v>799</v>
      </c>
      <c r="E3" s="4" t="s">
        <v>24</v>
      </c>
      <c r="F3" s="4" t="s">
        <v>24</v>
      </c>
      <c r="G3" s="4" t="s">
        <v>24</v>
      </c>
      <c r="I3">
        <f>91*(1023-I2)/I2</f>
        <v>26.690265486725664</v>
      </c>
    </row>
    <row r="4" spans="1:9" x14ac:dyDescent="0.2">
      <c r="A4" s="8">
        <v>46294</v>
      </c>
      <c r="B4" s="9">
        <v>0.69956018518518515</v>
      </c>
      <c r="C4" s="6">
        <v>2.7773439999999998</v>
      </c>
      <c r="D4" s="4">
        <v>792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46294</v>
      </c>
      <c r="B5" s="9">
        <v>0.69956018518518515</v>
      </c>
      <c r="C5" s="6">
        <v>3.296875</v>
      </c>
      <c r="D5" s="4">
        <v>792</v>
      </c>
      <c r="E5" s="4" t="s">
        <v>29</v>
      </c>
      <c r="F5" s="10">
        <v>0.56000000000000005</v>
      </c>
      <c r="G5" s="4" t="s">
        <v>26</v>
      </c>
    </row>
    <row r="6" spans="1:9" x14ac:dyDescent="0.2">
      <c r="A6" s="8">
        <v>46294</v>
      </c>
      <c r="B6" s="9">
        <v>0.6995717592592593</v>
      </c>
      <c r="C6" s="6">
        <v>3.8125</v>
      </c>
      <c r="D6" s="4">
        <v>790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46294</v>
      </c>
      <c r="B7" s="9">
        <v>0.6995717592592593</v>
      </c>
      <c r="C7" s="6">
        <v>4.3164059999999997</v>
      </c>
      <c r="D7" s="4">
        <v>792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46294</v>
      </c>
      <c r="B8" s="9">
        <v>0.69958333333333333</v>
      </c>
      <c r="C8" s="6">
        <v>4.8164059999999997</v>
      </c>
      <c r="D8" s="4">
        <v>792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46294</v>
      </c>
      <c r="B9" s="9">
        <v>0.69958333333333333</v>
      </c>
      <c r="C9" s="6">
        <v>5.3125</v>
      </c>
      <c r="D9" s="4">
        <v>790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46294</v>
      </c>
      <c r="B10" s="9">
        <v>0.69959490740740737</v>
      </c>
      <c r="C10" s="6">
        <v>5.8320309999999997</v>
      </c>
      <c r="D10" s="4">
        <v>788</v>
      </c>
      <c r="E10" s="4" t="s">
        <v>29</v>
      </c>
      <c r="F10" s="10">
        <v>0.56000000000000005</v>
      </c>
      <c r="G10" s="4" t="s">
        <v>26</v>
      </c>
    </row>
    <row r="11" spans="1:9" x14ac:dyDescent="0.2">
      <c r="A11" s="8">
        <v>46294</v>
      </c>
      <c r="B11" s="9">
        <v>0.69959490740740737</v>
      </c>
      <c r="C11" s="6">
        <v>6.3632809999999997</v>
      </c>
      <c r="D11" s="4">
        <v>791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46294</v>
      </c>
      <c r="B12" s="9">
        <v>0.69960648148148152</v>
      </c>
      <c r="C12" s="6">
        <v>6.8632809999999997</v>
      </c>
      <c r="D12" s="4">
        <v>792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46294</v>
      </c>
      <c r="B13" s="9">
        <v>0.69960648148148152</v>
      </c>
      <c r="C13" s="6">
        <v>7.3632809999999997</v>
      </c>
      <c r="D13" s="4">
        <v>795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46294</v>
      </c>
      <c r="B14" s="9">
        <v>0.69961805555555556</v>
      </c>
      <c r="C14" s="6">
        <v>7.8632809999999997</v>
      </c>
      <c r="D14" s="4">
        <v>793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46294</v>
      </c>
      <c r="B15" s="9">
        <v>0.6996296296296296</v>
      </c>
      <c r="C15" s="6">
        <v>8.875</v>
      </c>
      <c r="D15" s="4">
        <v>787</v>
      </c>
      <c r="E15" s="4" t="s">
        <v>28</v>
      </c>
      <c r="F15" s="4" t="s">
        <v>28</v>
      </c>
      <c r="G15" s="4">
        <v>-237</v>
      </c>
    </row>
    <row r="16" spans="1:9" x14ac:dyDescent="0.2">
      <c r="A16" s="8">
        <v>46294</v>
      </c>
      <c r="B16" s="9">
        <v>0.6996296296296296</v>
      </c>
      <c r="C16" s="6">
        <v>9.390625</v>
      </c>
      <c r="D16" s="4">
        <v>790</v>
      </c>
      <c r="E16" s="4" t="s">
        <v>28</v>
      </c>
      <c r="F16" s="4" t="s">
        <v>28</v>
      </c>
      <c r="G16" s="4">
        <v>4112</v>
      </c>
    </row>
    <row r="17" spans="1:7" x14ac:dyDescent="0.2">
      <c r="A17" s="8">
        <v>46294</v>
      </c>
      <c r="B17" s="9">
        <v>0.69964120370370375</v>
      </c>
      <c r="C17" s="6">
        <v>9.9375</v>
      </c>
      <c r="D17" s="4">
        <v>791</v>
      </c>
      <c r="E17" s="4" t="s">
        <v>29</v>
      </c>
      <c r="F17" s="10">
        <v>0.56000000000000005</v>
      </c>
      <c r="G17" s="4" t="s">
        <v>26</v>
      </c>
    </row>
    <row r="18" spans="1:7" x14ac:dyDescent="0.2">
      <c r="A18" s="8">
        <v>46294</v>
      </c>
      <c r="B18" s="9">
        <v>0.69964120370370375</v>
      </c>
      <c r="C18" s="6">
        <v>10.45313</v>
      </c>
      <c r="D18" s="4">
        <v>789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46294</v>
      </c>
      <c r="B19" s="9">
        <v>0.69965277777777779</v>
      </c>
      <c r="C19" s="6">
        <v>10.95313</v>
      </c>
      <c r="D19" s="4">
        <v>788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46294</v>
      </c>
      <c r="B20" s="9">
        <v>0.69965277777777779</v>
      </c>
      <c r="C20" s="6">
        <v>11.46875</v>
      </c>
      <c r="D20" s="4">
        <v>789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46294</v>
      </c>
      <c r="B21" s="9">
        <v>0.69966435185185183</v>
      </c>
      <c r="C21" s="6">
        <v>11.960940000000001</v>
      </c>
      <c r="D21" s="4">
        <v>783</v>
      </c>
      <c r="E21" s="4" t="s">
        <v>24</v>
      </c>
      <c r="F21" s="4" t="s">
        <v>24</v>
      </c>
      <c r="G21" s="4" t="s">
        <v>24</v>
      </c>
    </row>
    <row r="22" spans="1:7" x14ac:dyDescent="0.2">
      <c r="A22" s="8"/>
      <c r="B22" s="9"/>
      <c r="F22" s="10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13472-D41C-493F-AB70-293DBCBEBA96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46294</v>
      </c>
      <c r="B2" s="9">
        <v>0.700775462962963</v>
      </c>
      <c r="C2" s="6">
        <v>1.8046880000000001</v>
      </c>
      <c r="D2" s="4">
        <v>787</v>
      </c>
      <c r="E2" s="4" t="s">
        <v>24</v>
      </c>
      <c r="F2" s="4" t="s">
        <v>24</v>
      </c>
      <c r="G2" s="4" t="s">
        <v>24</v>
      </c>
      <c r="I2">
        <f>AVERAGE(D2:D21)</f>
        <v>779.85</v>
      </c>
    </row>
    <row r="3" spans="1:9" x14ac:dyDescent="0.2">
      <c r="A3" s="8">
        <v>46294</v>
      </c>
      <c r="B3" s="9">
        <v>0.700775462962963</v>
      </c>
      <c r="C3" s="6">
        <v>2.2773439999999998</v>
      </c>
      <c r="D3" s="4">
        <v>788</v>
      </c>
      <c r="E3" s="4" t="s">
        <v>24</v>
      </c>
      <c r="F3" s="4" t="s">
        <v>24</v>
      </c>
      <c r="G3" s="4" t="s">
        <v>24</v>
      </c>
      <c r="I3">
        <f>91*(1023-I2)/I2</f>
        <v>28.372956337757259</v>
      </c>
    </row>
    <row r="4" spans="1:9" x14ac:dyDescent="0.2">
      <c r="A4" s="8">
        <v>46294</v>
      </c>
      <c r="B4" s="9">
        <v>0.70078703703703704</v>
      </c>
      <c r="C4" s="6">
        <v>2.78125</v>
      </c>
      <c r="D4" s="4">
        <v>784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46294</v>
      </c>
      <c r="B5" s="9">
        <v>0.70078703703703704</v>
      </c>
      <c r="C5" s="6">
        <v>3.296875</v>
      </c>
      <c r="D5" s="4">
        <v>785</v>
      </c>
      <c r="E5" s="4" t="s">
        <v>29</v>
      </c>
      <c r="F5" s="10">
        <v>0.56999999999999995</v>
      </c>
      <c r="G5" s="4" t="s">
        <v>26</v>
      </c>
    </row>
    <row r="6" spans="1:9" x14ac:dyDescent="0.2">
      <c r="A6" s="8">
        <v>46294</v>
      </c>
      <c r="B6" s="9">
        <v>0.70079861111111108</v>
      </c>
      <c r="C6" s="6">
        <v>3.8242189999999998</v>
      </c>
      <c r="D6" s="4">
        <v>783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46294</v>
      </c>
      <c r="B7" s="9">
        <v>0.70079861111111108</v>
      </c>
      <c r="C7" s="6">
        <v>4.3164059999999997</v>
      </c>
      <c r="D7" s="4">
        <v>782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46294</v>
      </c>
      <c r="B8" s="9">
        <v>0.70081018518518523</v>
      </c>
      <c r="C8" s="6">
        <v>4.8242190000000003</v>
      </c>
      <c r="D8" s="4">
        <v>782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46294</v>
      </c>
      <c r="B9" s="9">
        <v>0.70081018518518523</v>
      </c>
      <c r="C9" s="6">
        <v>5.3242190000000003</v>
      </c>
      <c r="D9" s="4">
        <v>781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46294</v>
      </c>
      <c r="B10" s="9">
        <v>0.70082175925925927</v>
      </c>
      <c r="C10" s="6">
        <v>5.8359379999999996</v>
      </c>
      <c r="D10" s="4">
        <v>781</v>
      </c>
      <c r="E10" s="4" t="s">
        <v>28</v>
      </c>
      <c r="F10" s="4" t="s">
        <v>28</v>
      </c>
      <c r="G10" s="4">
        <v>21</v>
      </c>
    </row>
    <row r="11" spans="1:9" x14ac:dyDescent="0.2">
      <c r="A11" s="8">
        <v>46294</v>
      </c>
      <c r="B11" s="9">
        <v>0.70082175925925927</v>
      </c>
      <c r="C11" s="6">
        <v>6.3671879999999996</v>
      </c>
      <c r="D11" s="4">
        <v>778</v>
      </c>
      <c r="E11" s="4" t="s">
        <v>28</v>
      </c>
      <c r="F11" s="4" t="s">
        <v>28</v>
      </c>
      <c r="G11" s="4">
        <v>4112</v>
      </c>
    </row>
    <row r="12" spans="1:9" x14ac:dyDescent="0.2">
      <c r="A12" s="8">
        <v>46294</v>
      </c>
      <c r="B12" s="9">
        <v>0.70083333333333331</v>
      </c>
      <c r="C12" s="6">
        <v>6.890625</v>
      </c>
      <c r="D12" s="4">
        <v>776</v>
      </c>
      <c r="E12" s="4" t="s">
        <v>28</v>
      </c>
      <c r="F12" s="4" t="s">
        <v>28</v>
      </c>
      <c r="G12" s="4">
        <v>3088</v>
      </c>
    </row>
    <row r="13" spans="1:9" x14ac:dyDescent="0.2">
      <c r="A13" s="8">
        <v>46294</v>
      </c>
      <c r="B13" s="9">
        <v>0.70083333333333331</v>
      </c>
      <c r="C13" s="6">
        <v>7.421875</v>
      </c>
      <c r="D13" s="4">
        <v>779</v>
      </c>
      <c r="E13" s="4" t="s">
        <v>29</v>
      </c>
      <c r="F13" s="10">
        <v>0.56999999999999995</v>
      </c>
      <c r="G13" s="4" t="s">
        <v>26</v>
      </c>
    </row>
    <row r="14" spans="1:9" x14ac:dyDescent="0.2">
      <c r="A14" s="8">
        <v>46294</v>
      </c>
      <c r="B14" s="9">
        <v>0.70084490740740746</v>
      </c>
      <c r="C14" s="6">
        <v>7.9453129999999996</v>
      </c>
      <c r="D14" s="4">
        <v>777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46294</v>
      </c>
      <c r="B15" s="9">
        <v>0.70084490740740746</v>
      </c>
      <c r="C15" s="6">
        <v>8.4453130000000005</v>
      </c>
      <c r="D15" s="4">
        <v>776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46294</v>
      </c>
      <c r="B16" s="9">
        <v>0.7008564814814815</v>
      </c>
      <c r="C16" s="6">
        <v>8.9492189999999994</v>
      </c>
      <c r="D16" s="4">
        <v>775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46294</v>
      </c>
      <c r="B17" s="9">
        <v>0.7008564814814815</v>
      </c>
      <c r="C17" s="6">
        <v>9.4453130000000005</v>
      </c>
      <c r="D17" s="4">
        <v>777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46294</v>
      </c>
      <c r="B18" s="9">
        <v>0.70086805555555554</v>
      </c>
      <c r="C18" s="6">
        <v>10.464840000000001</v>
      </c>
      <c r="D18" s="4">
        <v>776</v>
      </c>
      <c r="E18" s="4" t="s">
        <v>28</v>
      </c>
      <c r="F18" s="4" t="s">
        <v>28</v>
      </c>
      <c r="G18" s="4">
        <v>-237</v>
      </c>
    </row>
    <row r="19" spans="1:7" x14ac:dyDescent="0.2">
      <c r="A19" s="8">
        <v>46294</v>
      </c>
      <c r="B19" s="9">
        <v>0.70087962962962957</v>
      </c>
      <c r="C19" s="6">
        <v>10.992190000000001</v>
      </c>
      <c r="D19" s="4">
        <v>779</v>
      </c>
      <c r="E19" s="4" t="s">
        <v>28</v>
      </c>
      <c r="F19" s="4" t="s">
        <v>28</v>
      </c>
      <c r="G19" s="4">
        <v>4112</v>
      </c>
    </row>
    <row r="20" spans="1:7" x14ac:dyDescent="0.2">
      <c r="A20" s="8">
        <v>46294</v>
      </c>
      <c r="B20" s="9">
        <v>0.70087962962962957</v>
      </c>
      <c r="C20" s="6">
        <v>11.53125</v>
      </c>
      <c r="D20" s="4">
        <v>774</v>
      </c>
      <c r="E20" s="4" t="s">
        <v>29</v>
      </c>
      <c r="F20" s="10">
        <v>0.56000000000000005</v>
      </c>
      <c r="G20" s="4" t="s">
        <v>26</v>
      </c>
    </row>
    <row r="21" spans="1:7" x14ac:dyDescent="0.2">
      <c r="A21" s="8">
        <v>46294</v>
      </c>
      <c r="B21" s="9">
        <v>0.70089120370370372</v>
      </c>
      <c r="C21" s="6">
        <v>12.05078</v>
      </c>
      <c r="D21" s="4">
        <v>777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F1461-E1EE-41D1-9794-A71F03326747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46294</v>
      </c>
      <c r="B2" s="9">
        <v>0.70172453703703708</v>
      </c>
      <c r="C2" s="6">
        <v>1.8203130000000001</v>
      </c>
      <c r="D2" s="4">
        <v>793</v>
      </c>
      <c r="E2" s="4" t="s">
        <v>24</v>
      </c>
      <c r="F2" s="4" t="s">
        <v>24</v>
      </c>
      <c r="G2" s="4" t="s">
        <v>24</v>
      </c>
      <c r="I2">
        <f>AVERAGE(D2:D21)</f>
        <v>792.55</v>
      </c>
    </row>
    <row r="3" spans="1:9" x14ac:dyDescent="0.2">
      <c r="A3" s="8">
        <v>46294</v>
      </c>
      <c r="B3" s="9">
        <v>0.70173611111111112</v>
      </c>
      <c r="C3" s="6">
        <v>2.2929689999999998</v>
      </c>
      <c r="D3" s="4">
        <v>794</v>
      </c>
      <c r="E3" s="4" t="s">
        <v>24</v>
      </c>
      <c r="F3" s="4" t="s">
        <v>24</v>
      </c>
      <c r="G3" s="4" t="s">
        <v>24</v>
      </c>
      <c r="I3">
        <f>91*(1023-I2)/I2</f>
        <v>26.460097154753651</v>
      </c>
    </row>
    <row r="4" spans="1:9" x14ac:dyDescent="0.2">
      <c r="A4" s="8">
        <v>46294</v>
      </c>
      <c r="B4" s="9">
        <v>0.70173611111111112</v>
      </c>
      <c r="C4" s="6">
        <v>2.7929689999999998</v>
      </c>
      <c r="D4" s="4">
        <v>792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46294</v>
      </c>
      <c r="B5" s="9">
        <v>0.70174768518518515</v>
      </c>
      <c r="C5" s="6">
        <v>3.3164060000000002</v>
      </c>
      <c r="D5" s="4">
        <v>791</v>
      </c>
      <c r="E5" s="4" t="s">
        <v>29</v>
      </c>
      <c r="F5" s="10">
        <v>0.56999999999999995</v>
      </c>
      <c r="G5" s="4" t="s">
        <v>26</v>
      </c>
    </row>
    <row r="6" spans="1:9" x14ac:dyDescent="0.2">
      <c r="A6" s="8">
        <v>46294</v>
      </c>
      <c r="B6" s="9">
        <v>0.70174768518518515</v>
      </c>
      <c r="C6" s="6">
        <v>3.8359380000000001</v>
      </c>
      <c r="D6" s="4">
        <v>793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46294</v>
      </c>
      <c r="B7" s="9">
        <v>0.7017592592592593</v>
      </c>
      <c r="C7" s="6">
        <v>4.3320309999999997</v>
      </c>
      <c r="D7" s="4">
        <v>792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46294</v>
      </c>
      <c r="B8" s="9">
        <v>0.7017592592592593</v>
      </c>
      <c r="C8" s="6">
        <v>4.8359379999999996</v>
      </c>
      <c r="D8" s="4">
        <v>793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46294</v>
      </c>
      <c r="B9" s="9">
        <v>0.70177083333333334</v>
      </c>
      <c r="C9" s="6">
        <v>5.3398440000000003</v>
      </c>
      <c r="D9" s="4">
        <v>792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46294</v>
      </c>
      <c r="B10" s="9">
        <v>0.70177083333333334</v>
      </c>
      <c r="C10" s="6">
        <v>5.8515629999999996</v>
      </c>
      <c r="D10" s="4">
        <v>791</v>
      </c>
      <c r="E10" s="4" t="s">
        <v>28</v>
      </c>
      <c r="F10" s="4" t="s">
        <v>28</v>
      </c>
      <c r="G10" s="4">
        <v>21</v>
      </c>
    </row>
    <row r="11" spans="1:9" x14ac:dyDescent="0.2">
      <c r="A11" s="8">
        <v>46294</v>
      </c>
      <c r="B11" s="9">
        <v>0.70178240740740738</v>
      </c>
      <c r="C11" s="6">
        <v>6.3789059999999997</v>
      </c>
      <c r="D11" s="4">
        <v>790</v>
      </c>
      <c r="E11" s="4" t="s">
        <v>28</v>
      </c>
      <c r="F11" s="4" t="s">
        <v>28</v>
      </c>
      <c r="G11" s="4">
        <v>4112</v>
      </c>
    </row>
    <row r="12" spans="1:9" x14ac:dyDescent="0.2">
      <c r="A12" s="8">
        <v>46294</v>
      </c>
      <c r="B12" s="9">
        <v>0.70178240740740738</v>
      </c>
      <c r="C12" s="6">
        <v>6.9023440000000003</v>
      </c>
      <c r="D12" s="4">
        <v>794</v>
      </c>
      <c r="E12" s="4" t="s">
        <v>28</v>
      </c>
      <c r="F12" s="4" t="s">
        <v>28</v>
      </c>
      <c r="G12" s="4">
        <v>3088</v>
      </c>
    </row>
    <row r="13" spans="1:9" x14ac:dyDescent="0.2">
      <c r="A13" s="8">
        <v>46294</v>
      </c>
      <c r="B13" s="9">
        <v>0.70179398148148153</v>
      </c>
      <c r="C13" s="6">
        <v>7.4335940000000003</v>
      </c>
      <c r="D13" s="4">
        <v>791</v>
      </c>
      <c r="E13" s="4" t="s">
        <v>28</v>
      </c>
      <c r="F13" s="4" t="s">
        <v>28</v>
      </c>
      <c r="G13" s="4">
        <v>21</v>
      </c>
    </row>
    <row r="14" spans="1:9" x14ac:dyDescent="0.2">
      <c r="A14" s="8">
        <v>46294</v>
      </c>
      <c r="B14" s="9">
        <v>0.70179398148148153</v>
      </c>
      <c r="C14" s="6">
        <v>7.9609379999999996</v>
      </c>
      <c r="D14" s="4">
        <v>792</v>
      </c>
      <c r="E14" s="4" t="s">
        <v>28</v>
      </c>
      <c r="F14" s="4" t="s">
        <v>28</v>
      </c>
      <c r="G14" s="4">
        <v>4112</v>
      </c>
    </row>
    <row r="15" spans="1:9" x14ac:dyDescent="0.2">
      <c r="A15" s="8">
        <v>46294</v>
      </c>
      <c r="B15" s="9">
        <v>0.70180555555555557</v>
      </c>
      <c r="C15" s="6">
        <v>8.484375</v>
      </c>
      <c r="D15" s="4">
        <v>794</v>
      </c>
      <c r="E15" s="4" t="s">
        <v>28</v>
      </c>
      <c r="F15" s="4" t="s">
        <v>28</v>
      </c>
      <c r="G15" s="4">
        <v>4112</v>
      </c>
    </row>
    <row r="16" spans="1:9" x14ac:dyDescent="0.2">
      <c r="A16" s="8">
        <v>46294</v>
      </c>
      <c r="B16" s="9">
        <v>0.70180555555555557</v>
      </c>
      <c r="C16" s="6">
        <v>9.0195310000000006</v>
      </c>
      <c r="D16" s="4">
        <v>793</v>
      </c>
      <c r="E16" s="4" t="s">
        <v>29</v>
      </c>
      <c r="F16" s="10">
        <v>0.56999999999999995</v>
      </c>
      <c r="G16" s="4" t="s">
        <v>26</v>
      </c>
    </row>
    <row r="17" spans="1:7" x14ac:dyDescent="0.2">
      <c r="A17" s="8">
        <v>46294</v>
      </c>
      <c r="B17" s="9">
        <v>0.70181712962962961</v>
      </c>
      <c r="C17" s="6">
        <v>9.5390630000000005</v>
      </c>
      <c r="D17" s="4">
        <v>793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46294</v>
      </c>
      <c r="B18" s="9">
        <v>0.70181712962962961</v>
      </c>
      <c r="C18" s="6">
        <v>10.039059999999999</v>
      </c>
      <c r="D18" s="4">
        <v>793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46294</v>
      </c>
      <c r="B19" s="9">
        <v>0.70182870370370365</v>
      </c>
      <c r="C19" s="6">
        <v>10.54297</v>
      </c>
      <c r="D19" s="4">
        <v>794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46294</v>
      </c>
      <c r="B20" s="9">
        <v>0.70182870370370365</v>
      </c>
      <c r="C20" s="6">
        <v>11.04297</v>
      </c>
      <c r="D20" s="4">
        <v>793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46294</v>
      </c>
      <c r="B21" s="9">
        <v>0.7018402777777778</v>
      </c>
      <c r="C21" s="6">
        <v>11.566409999999999</v>
      </c>
      <c r="D21" s="4">
        <v>793</v>
      </c>
      <c r="E21" s="4" t="s">
        <v>29</v>
      </c>
      <c r="F21" s="10">
        <v>0.56999999999999995</v>
      </c>
      <c r="G21" s="4" t="s">
        <v>26</v>
      </c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1" t="s">
        <v>3</v>
      </c>
      <c r="F3" s="12"/>
    </row>
    <row r="4" spans="2:13" ht="12.75" customHeight="1" x14ac:dyDescent="0.2">
      <c r="B4" s="1" t="s">
        <v>1</v>
      </c>
      <c r="C4" s="3">
        <v>9600</v>
      </c>
      <c r="E4" s="13"/>
      <c r="F4" s="14"/>
    </row>
    <row r="5" spans="2:13" ht="12.75" customHeight="1" x14ac:dyDescent="0.2">
      <c r="B5" s="1" t="s">
        <v>2</v>
      </c>
      <c r="C5" s="2" t="b">
        <v>1</v>
      </c>
      <c r="E5" s="13"/>
      <c r="F5" s="14"/>
    </row>
    <row r="6" spans="2:13" ht="12.75" customHeight="1" x14ac:dyDescent="0.2">
      <c r="B6" s="1" t="s">
        <v>5</v>
      </c>
      <c r="C6" s="2" t="b">
        <v>1</v>
      </c>
      <c r="E6" s="13"/>
      <c r="F6" s="14"/>
    </row>
    <row r="7" spans="2:13" ht="12.75" customHeight="1" x14ac:dyDescent="0.2">
      <c r="B7" s="1" t="s">
        <v>6</v>
      </c>
      <c r="C7" s="2" t="b">
        <v>1</v>
      </c>
      <c r="E7" s="13"/>
      <c r="F7" s="14"/>
      <c r="M7" s="1"/>
    </row>
    <row r="8" spans="2:13" ht="12.75" customHeight="1" x14ac:dyDescent="0.2">
      <c r="B8" s="1" t="s">
        <v>7</v>
      </c>
      <c r="C8" s="2" t="b">
        <v>0</v>
      </c>
      <c r="E8" s="13"/>
      <c r="F8" s="14"/>
      <c r="L8" s="1"/>
      <c r="M8" s="1"/>
    </row>
    <row r="9" spans="2:13" ht="12.75" customHeight="1" x14ac:dyDescent="0.2">
      <c r="B9" s="1" t="s">
        <v>4</v>
      </c>
      <c r="C9" s="3" t="s">
        <v>30</v>
      </c>
      <c r="E9" s="13"/>
      <c r="F9" s="14"/>
      <c r="M9" s="1"/>
    </row>
    <row r="10" spans="2:13" ht="13.5" customHeight="1" x14ac:dyDescent="0.2">
      <c r="B10" s="1" t="s">
        <v>9</v>
      </c>
      <c r="C10" s="2" t="b">
        <v>1</v>
      </c>
      <c r="E10" s="13"/>
      <c r="F10" s="14"/>
    </row>
    <row r="11" spans="2:13" ht="13.5" customHeight="1" x14ac:dyDescent="0.2">
      <c r="B11" s="1" t="s">
        <v>8</v>
      </c>
      <c r="C11" s="2" t="b">
        <v>1</v>
      </c>
      <c r="E11" s="13"/>
      <c r="F11" s="14"/>
    </row>
    <row r="12" spans="2:13" ht="12.75" customHeight="1" x14ac:dyDescent="0.2">
      <c r="B12" s="1" t="s">
        <v>10</v>
      </c>
      <c r="C12" s="2" t="b">
        <v>1</v>
      </c>
      <c r="E12" s="13"/>
      <c r="F12" s="14"/>
    </row>
    <row r="13" spans="2:13" ht="12.75" customHeight="1" x14ac:dyDescent="0.2">
      <c r="B13" s="1" t="s">
        <v>11</v>
      </c>
      <c r="C13" s="2" t="b">
        <v>1</v>
      </c>
      <c r="E13" s="13"/>
      <c r="F13" s="14"/>
    </row>
    <row r="14" spans="2:13" ht="13.5" customHeight="1" x14ac:dyDescent="0.2">
      <c r="B14" s="1" t="s">
        <v>12</v>
      </c>
      <c r="C14" s="2">
        <v>536.25</v>
      </c>
      <c r="E14" s="13"/>
      <c r="F14" s="14"/>
    </row>
    <row r="15" spans="2:13" x14ac:dyDescent="0.2">
      <c r="B15" s="1" t="s">
        <v>13</v>
      </c>
      <c r="C15" s="3">
        <v>1024</v>
      </c>
      <c r="E15" s="13"/>
      <c r="F15" s="14"/>
    </row>
    <row r="16" spans="2:13" x14ac:dyDescent="0.2">
      <c r="B16" s="1" t="s">
        <v>14</v>
      </c>
      <c r="C16" s="3">
        <v>1024</v>
      </c>
      <c r="E16" s="13"/>
      <c r="F16" s="14"/>
    </row>
    <row r="17" spans="2:6" x14ac:dyDescent="0.2">
      <c r="B17" s="1" t="s">
        <v>15</v>
      </c>
      <c r="C17" s="3">
        <v>1024</v>
      </c>
      <c r="E17" s="13"/>
      <c r="F17" s="14"/>
    </row>
    <row r="18" spans="2:6" ht="13.5" thickBot="1" x14ac:dyDescent="0.25">
      <c r="B18" s="1" t="s">
        <v>16</v>
      </c>
      <c r="C18" s="3">
        <v>64</v>
      </c>
      <c r="E18" s="15"/>
      <c r="F18" s="16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溫度</vt:lpstr>
      <vt:lpstr>A2</vt:lpstr>
      <vt:lpstr>A3</vt:lpstr>
      <vt:lpstr>A4</vt:lpstr>
      <vt:lpstr>B2</vt:lpstr>
      <vt:lpstr>B3</vt:lpstr>
      <vt:lpstr>B4</vt:lpstr>
      <vt:lpstr>養樂多空白值</vt:lpstr>
      <vt:lpstr>養樂多40</vt:lpstr>
      <vt:lpstr>養樂多30</vt:lpstr>
      <vt:lpstr>養樂多50</vt:lpstr>
      <vt:lpstr>養樂多60</vt:lpstr>
      <vt:lpstr>養樂多70</vt:lpstr>
      <vt:lpstr>養樂多80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2026-10-01T05:59:12Z</dcterms:modified>
</cp:coreProperties>
</file>