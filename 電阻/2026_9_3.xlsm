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Excel\"/>
    </mc:Choice>
  </mc:AlternateContent>
  <xr:revisionPtr revIDLastSave="0" documentId="13_ncr:1_{69E6EFE7-3E32-4F40-8F0D-8EE121E96DDF}" xr6:coauthVersionLast="47" xr6:coauthVersionMax="47" xr10:uidLastSave="{00000000-0000-0000-0000-000000000000}"/>
  <bookViews>
    <workbookView xWindow="-120" yWindow="-120" windowWidth="20730" windowHeight="11160" tabRatio="795" activeTab="14" xr2:uid="{00000000-000D-0000-FFFF-FFFF00000000}"/>
  </bookViews>
  <sheets>
    <sheet name="溫度" sheetId="36" r:id="rId1"/>
    <sheet name="A2" sheetId="37" r:id="rId2"/>
    <sheet name="B2" sheetId="38" r:id="rId3"/>
    <sheet name="A2搖晃" sheetId="43" r:id="rId4"/>
    <sheet name="B2搖晃" sheetId="44" r:id="rId5"/>
    <sheet name="A3搖晃" sheetId="45" r:id="rId6"/>
    <sheet name="B3搖晃" sheetId="46" r:id="rId7"/>
    <sheet name="A4搖晃" sheetId="47" r:id="rId8"/>
    <sheet name="B4搖晃" sheetId="48" r:id="rId9"/>
    <sheet name="test" sheetId="49" r:id="rId10"/>
    <sheet name="標準" sheetId="50" r:id="rId11"/>
    <sheet name="A3" sheetId="39" r:id="rId12"/>
    <sheet name="B3" sheetId="40" r:id="rId13"/>
    <sheet name="A4" sheetId="41" r:id="rId14"/>
    <sheet name="B4" sheetId="42" r:id="rId15"/>
    <sheet name="PLXDAQ_new_Settings" sheetId="6" state="hidden" r:id="rId1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0" l="1"/>
  <c r="H2" i="50"/>
  <c r="J2" i="49"/>
  <c r="G3" i="49"/>
  <c r="G4" i="49"/>
  <c r="G5" i="49"/>
  <c r="G6" i="49"/>
  <c r="G7" i="49"/>
  <c r="G8" i="49"/>
  <c r="G9" i="49"/>
  <c r="G10" i="49"/>
  <c r="G11" i="49"/>
  <c r="G12" i="49"/>
  <c r="G13" i="49"/>
  <c r="G14" i="49"/>
  <c r="G15" i="49"/>
  <c r="G16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1" i="49"/>
  <c r="G32" i="49"/>
  <c r="G33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6" i="49"/>
  <c r="G57" i="49"/>
  <c r="G58" i="49"/>
  <c r="G59" i="49"/>
  <c r="G60" i="49"/>
  <c r="G61" i="49"/>
  <c r="G62" i="49"/>
  <c r="G63" i="49"/>
  <c r="G64" i="49"/>
  <c r="G65" i="49"/>
  <c r="G66" i="49"/>
  <c r="G67" i="49"/>
  <c r="G68" i="49"/>
  <c r="G69" i="49"/>
  <c r="G70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97" i="49"/>
  <c r="G98" i="49"/>
  <c r="G99" i="49"/>
  <c r="G100" i="49"/>
  <c r="G101" i="49"/>
  <c r="G102" i="49"/>
  <c r="G103" i="49"/>
  <c r="G104" i="49"/>
  <c r="G105" i="49"/>
  <c r="G106" i="49"/>
  <c r="G107" i="49"/>
  <c r="G108" i="49"/>
  <c r="G109" i="49"/>
  <c r="G110" i="49"/>
  <c r="G111" i="49"/>
  <c r="G112" i="49"/>
  <c r="G113" i="49"/>
  <c r="G114" i="49"/>
  <c r="G115" i="49"/>
  <c r="G116" i="49"/>
  <c r="G117" i="49"/>
  <c r="G118" i="49"/>
  <c r="G119" i="49"/>
  <c r="G120" i="49"/>
  <c r="G121" i="49"/>
  <c r="G122" i="49"/>
  <c r="G123" i="49"/>
  <c r="G124" i="49"/>
  <c r="G125" i="49"/>
  <c r="G126" i="49"/>
  <c r="G127" i="49"/>
  <c r="G128" i="49"/>
  <c r="G129" i="49"/>
  <c r="G130" i="49"/>
  <c r="G131" i="49"/>
  <c r="G132" i="49"/>
  <c r="G133" i="49"/>
  <c r="G134" i="49"/>
  <c r="G135" i="49"/>
  <c r="G136" i="49"/>
  <c r="G137" i="49"/>
  <c r="G138" i="49"/>
  <c r="G139" i="49"/>
  <c r="G140" i="49"/>
  <c r="G141" i="49"/>
  <c r="G142" i="49"/>
  <c r="G143" i="49"/>
  <c r="G144" i="49"/>
  <c r="G145" i="49"/>
  <c r="G146" i="49"/>
  <c r="G147" i="49"/>
  <c r="G148" i="49"/>
  <c r="G149" i="49"/>
  <c r="G150" i="49"/>
  <c r="G151" i="49"/>
  <c r="G152" i="49"/>
  <c r="G153" i="49"/>
  <c r="G154" i="49"/>
  <c r="G155" i="49"/>
  <c r="G156" i="49"/>
  <c r="G157" i="49"/>
  <c r="G158" i="49"/>
  <c r="G159" i="49"/>
  <c r="G160" i="49"/>
  <c r="G161" i="49"/>
  <c r="G162" i="49"/>
  <c r="G163" i="49"/>
  <c r="G164" i="49"/>
  <c r="G165" i="49"/>
  <c r="G166" i="49"/>
  <c r="G167" i="49"/>
  <c r="G168" i="49"/>
  <c r="G169" i="49"/>
  <c r="G170" i="49"/>
  <c r="G171" i="49"/>
  <c r="G172" i="49"/>
  <c r="G173" i="49"/>
  <c r="G174" i="49"/>
  <c r="G175" i="49"/>
  <c r="G176" i="49"/>
  <c r="G177" i="49"/>
  <c r="G178" i="49"/>
  <c r="G179" i="49"/>
  <c r="G180" i="49"/>
  <c r="G181" i="49"/>
  <c r="G182" i="49"/>
  <c r="G183" i="49"/>
  <c r="G184" i="49"/>
  <c r="G185" i="49"/>
  <c r="G186" i="49"/>
  <c r="G187" i="49"/>
  <c r="G188" i="49"/>
  <c r="G189" i="49"/>
  <c r="G190" i="49"/>
  <c r="G191" i="49"/>
  <c r="G192" i="49"/>
  <c r="G193" i="49"/>
  <c r="G194" i="49"/>
  <c r="G195" i="49"/>
  <c r="G196" i="49"/>
  <c r="G197" i="49"/>
  <c r="G198" i="49"/>
  <c r="G199" i="49"/>
  <c r="G200" i="49"/>
  <c r="G201" i="49"/>
  <c r="G202" i="49"/>
  <c r="G203" i="49"/>
  <c r="G204" i="49"/>
  <c r="G205" i="49"/>
  <c r="G206" i="49"/>
  <c r="G207" i="49"/>
  <c r="G208" i="49"/>
  <c r="G209" i="49"/>
  <c r="G210" i="49"/>
  <c r="G2" i="49"/>
  <c r="H2" i="49"/>
  <c r="I2" i="45"/>
  <c r="I2" i="48"/>
  <c r="I2" i="47"/>
  <c r="I2" i="46"/>
  <c r="H2" i="46"/>
  <c r="I2" i="44"/>
  <c r="I2" i="43"/>
  <c r="H2" i="48"/>
  <c r="H2" i="47"/>
  <c r="H2" i="45"/>
  <c r="H2" i="44"/>
  <c r="H2" i="43"/>
  <c r="I2" i="42"/>
  <c r="I2" i="41"/>
  <c r="I2" i="40"/>
  <c r="I2" i="39"/>
  <c r="I2" i="38"/>
  <c r="I2" i="37"/>
  <c r="H2" i="42"/>
  <c r="H2" i="41"/>
  <c r="H2" i="40"/>
  <c r="H2" i="39"/>
  <c r="H2" i="38"/>
  <c r="H2" i="37"/>
</calcChain>
</file>

<file path=xl/sharedStrings.xml><?xml version="1.0" encoding="utf-8"?>
<sst xmlns="http://schemas.openxmlformats.org/spreadsheetml/2006/main" count="1248" uniqueCount="37">
  <si>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</si>
  <si>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</si>
  <si>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</si>
  <si>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</si>
  <si>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</si>
  <si>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</si>
  <si>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</si>
  <si>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</si>
  <si>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</si>
  <si>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</si>
  <si>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</si>
  <si>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</si>
  <si>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</si>
  <si>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</si>
  <si>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</si>
  <si>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</si>
  <si>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</si>
  <si>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  <phoneticPr fontId="4" type="noConversion"/>
  </si>
  <si>
    <t>Data</t>
  </si>
  <si>
    <t>Time</t>
  </si>
  <si>
    <t>Timer</t>
  </si>
  <si>
    <t>T</t>
  </si>
  <si>
    <t>H</t>
  </si>
  <si>
    <t>Error Code</t>
  </si>
  <si>
    <t>27.00 C</t>
  </si>
  <si>
    <t>NULL</t>
  </si>
  <si>
    <t>Error</t>
  </si>
  <si>
    <t>Time</t>
    <phoneticPr fontId="4" type="noConversion"/>
  </si>
  <si>
    <t>Timer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</si>
  <si>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</si>
  <si>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</si>
  <si>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</si>
  <si>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27.00 C</t>
    <phoneticPr fontId="4" type="noConversion"/>
  </si>
  <si>
    <t>NULL</t>
    <phoneticPr fontId="4" type="noConversion"/>
  </si>
  <si>
    <t>None</t>
  </si>
  <si>
    <t>26.00 C</t>
  </si>
  <si>
    <t>標準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</si>
</sst>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76" fontId="0" fillId="0" borderId="0" xfId="0" applyNumberFormat="1"/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test!$C$1</c:f>
              <c:strCache>
                <c:ptCount val="1"/>
                <c:pt idx="0">
                  <c:v>Data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test!$C$2:$C$210</c:f>
              <c:numCache>
                <c:formatCode>General</c:formatCode>
                <c:ptCount val="209"/>
                <c:pt idx="0">
                  <c:v>820</c:v>
                </c:pt>
                <c:pt idx="1">
                  <c:v>819</c:v>
                </c:pt>
                <c:pt idx="2">
                  <c:v>820</c:v>
                </c:pt>
                <c:pt idx="3">
                  <c:v>819</c:v>
                </c:pt>
                <c:pt idx="4">
                  <c:v>819</c:v>
                </c:pt>
                <c:pt idx="5">
                  <c:v>818</c:v>
                </c:pt>
                <c:pt idx="6">
                  <c:v>818</c:v>
                </c:pt>
                <c:pt idx="7">
                  <c:v>820</c:v>
                </c:pt>
                <c:pt idx="8">
                  <c:v>820</c:v>
                </c:pt>
                <c:pt idx="9">
                  <c:v>819</c:v>
                </c:pt>
                <c:pt idx="10">
                  <c:v>818</c:v>
                </c:pt>
                <c:pt idx="11">
                  <c:v>819</c:v>
                </c:pt>
                <c:pt idx="12">
                  <c:v>819</c:v>
                </c:pt>
                <c:pt idx="13">
                  <c:v>818</c:v>
                </c:pt>
                <c:pt idx="14">
                  <c:v>818</c:v>
                </c:pt>
                <c:pt idx="15">
                  <c:v>818</c:v>
                </c:pt>
                <c:pt idx="16">
                  <c:v>820</c:v>
                </c:pt>
                <c:pt idx="17">
                  <c:v>819</c:v>
                </c:pt>
                <c:pt idx="18">
                  <c:v>817</c:v>
                </c:pt>
                <c:pt idx="19">
                  <c:v>819</c:v>
                </c:pt>
                <c:pt idx="20">
                  <c:v>819</c:v>
                </c:pt>
                <c:pt idx="21">
                  <c:v>818</c:v>
                </c:pt>
                <c:pt idx="22">
                  <c:v>819</c:v>
                </c:pt>
                <c:pt idx="23">
                  <c:v>819</c:v>
                </c:pt>
                <c:pt idx="24">
                  <c:v>819</c:v>
                </c:pt>
                <c:pt idx="25">
                  <c:v>817</c:v>
                </c:pt>
                <c:pt idx="26">
                  <c:v>818</c:v>
                </c:pt>
                <c:pt idx="27">
                  <c:v>819</c:v>
                </c:pt>
                <c:pt idx="28">
                  <c:v>818</c:v>
                </c:pt>
                <c:pt idx="29">
                  <c:v>818</c:v>
                </c:pt>
                <c:pt idx="30">
                  <c:v>819</c:v>
                </c:pt>
                <c:pt idx="31">
                  <c:v>819</c:v>
                </c:pt>
                <c:pt idx="32">
                  <c:v>819</c:v>
                </c:pt>
                <c:pt idx="33">
                  <c:v>818</c:v>
                </c:pt>
                <c:pt idx="34">
                  <c:v>818</c:v>
                </c:pt>
                <c:pt idx="35">
                  <c:v>818</c:v>
                </c:pt>
                <c:pt idx="36">
                  <c:v>819</c:v>
                </c:pt>
                <c:pt idx="37">
                  <c:v>819</c:v>
                </c:pt>
                <c:pt idx="38">
                  <c:v>817</c:v>
                </c:pt>
                <c:pt idx="39">
                  <c:v>818</c:v>
                </c:pt>
                <c:pt idx="40">
                  <c:v>819</c:v>
                </c:pt>
                <c:pt idx="41">
                  <c:v>818</c:v>
                </c:pt>
                <c:pt idx="42">
                  <c:v>819</c:v>
                </c:pt>
                <c:pt idx="43">
                  <c:v>818</c:v>
                </c:pt>
                <c:pt idx="44">
                  <c:v>817</c:v>
                </c:pt>
                <c:pt idx="45">
                  <c:v>817</c:v>
                </c:pt>
                <c:pt idx="46">
                  <c:v>820</c:v>
                </c:pt>
                <c:pt idx="47">
                  <c:v>819</c:v>
                </c:pt>
                <c:pt idx="48">
                  <c:v>818</c:v>
                </c:pt>
                <c:pt idx="49">
                  <c:v>820</c:v>
                </c:pt>
                <c:pt idx="50">
                  <c:v>819</c:v>
                </c:pt>
                <c:pt idx="51">
                  <c:v>819</c:v>
                </c:pt>
                <c:pt idx="52">
                  <c:v>817</c:v>
                </c:pt>
                <c:pt idx="53">
                  <c:v>818</c:v>
                </c:pt>
                <c:pt idx="54">
                  <c:v>818</c:v>
                </c:pt>
                <c:pt idx="55">
                  <c:v>819</c:v>
                </c:pt>
                <c:pt idx="56">
                  <c:v>819</c:v>
                </c:pt>
                <c:pt idx="57">
                  <c:v>819</c:v>
                </c:pt>
                <c:pt idx="58">
                  <c:v>819</c:v>
                </c:pt>
                <c:pt idx="59">
                  <c:v>817</c:v>
                </c:pt>
                <c:pt idx="60">
                  <c:v>817</c:v>
                </c:pt>
                <c:pt idx="61">
                  <c:v>819</c:v>
                </c:pt>
                <c:pt idx="62">
                  <c:v>819</c:v>
                </c:pt>
                <c:pt idx="63">
                  <c:v>817</c:v>
                </c:pt>
                <c:pt idx="64">
                  <c:v>819</c:v>
                </c:pt>
                <c:pt idx="65">
                  <c:v>819</c:v>
                </c:pt>
                <c:pt idx="66">
                  <c:v>819</c:v>
                </c:pt>
                <c:pt idx="67">
                  <c:v>818</c:v>
                </c:pt>
                <c:pt idx="68">
                  <c:v>819</c:v>
                </c:pt>
                <c:pt idx="69">
                  <c:v>819</c:v>
                </c:pt>
                <c:pt idx="70">
                  <c:v>818</c:v>
                </c:pt>
                <c:pt idx="71">
                  <c:v>819</c:v>
                </c:pt>
                <c:pt idx="72">
                  <c:v>819</c:v>
                </c:pt>
                <c:pt idx="73">
                  <c:v>819</c:v>
                </c:pt>
                <c:pt idx="74">
                  <c:v>819</c:v>
                </c:pt>
                <c:pt idx="75">
                  <c:v>819</c:v>
                </c:pt>
                <c:pt idx="76">
                  <c:v>818</c:v>
                </c:pt>
                <c:pt idx="77">
                  <c:v>819</c:v>
                </c:pt>
                <c:pt idx="78">
                  <c:v>819</c:v>
                </c:pt>
                <c:pt idx="79">
                  <c:v>818</c:v>
                </c:pt>
                <c:pt idx="80">
                  <c:v>819</c:v>
                </c:pt>
                <c:pt idx="81">
                  <c:v>818</c:v>
                </c:pt>
                <c:pt idx="82">
                  <c:v>820</c:v>
                </c:pt>
                <c:pt idx="83">
                  <c:v>819</c:v>
                </c:pt>
                <c:pt idx="84">
                  <c:v>818</c:v>
                </c:pt>
                <c:pt idx="85">
                  <c:v>819</c:v>
                </c:pt>
                <c:pt idx="86">
                  <c:v>818</c:v>
                </c:pt>
                <c:pt idx="87">
                  <c:v>818</c:v>
                </c:pt>
                <c:pt idx="88">
                  <c:v>818</c:v>
                </c:pt>
                <c:pt idx="89">
                  <c:v>819</c:v>
                </c:pt>
                <c:pt idx="90">
                  <c:v>817</c:v>
                </c:pt>
                <c:pt idx="91">
                  <c:v>818</c:v>
                </c:pt>
                <c:pt idx="92">
                  <c:v>818</c:v>
                </c:pt>
                <c:pt idx="93">
                  <c:v>818</c:v>
                </c:pt>
                <c:pt idx="94">
                  <c:v>818</c:v>
                </c:pt>
                <c:pt idx="95">
                  <c:v>818</c:v>
                </c:pt>
                <c:pt idx="96">
                  <c:v>817</c:v>
                </c:pt>
                <c:pt idx="97">
                  <c:v>817</c:v>
                </c:pt>
                <c:pt idx="98">
                  <c:v>817</c:v>
                </c:pt>
                <c:pt idx="99">
                  <c:v>818</c:v>
                </c:pt>
                <c:pt idx="100">
                  <c:v>819</c:v>
                </c:pt>
                <c:pt idx="101">
                  <c:v>818</c:v>
                </c:pt>
                <c:pt idx="102">
                  <c:v>818</c:v>
                </c:pt>
                <c:pt idx="103">
                  <c:v>819</c:v>
                </c:pt>
                <c:pt idx="104">
                  <c:v>818</c:v>
                </c:pt>
                <c:pt idx="105">
                  <c:v>819</c:v>
                </c:pt>
                <c:pt idx="106">
                  <c:v>818</c:v>
                </c:pt>
                <c:pt idx="107">
                  <c:v>817</c:v>
                </c:pt>
                <c:pt idx="108">
                  <c:v>817</c:v>
                </c:pt>
                <c:pt idx="109">
                  <c:v>817</c:v>
                </c:pt>
                <c:pt idx="110">
                  <c:v>820</c:v>
                </c:pt>
                <c:pt idx="111">
                  <c:v>819</c:v>
                </c:pt>
                <c:pt idx="112">
                  <c:v>819</c:v>
                </c:pt>
                <c:pt idx="113">
                  <c:v>818</c:v>
                </c:pt>
                <c:pt idx="114">
                  <c:v>818</c:v>
                </c:pt>
                <c:pt idx="115">
                  <c:v>817</c:v>
                </c:pt>
                <c:pt idx="116">
                  <c:v>817</c:v>
                </c:pt>
                <c:pt idx="117">
                  <c:v>817</c:v>
                </c:pt>
                <c:pt idx="118">
                  <c:v>818</c:v>
                </c:pt>
                <c:pt idx="119">
                  <c:v>817</c:v>
                </c:pt>
                <c:pt idx="120">
                  <c:v>819</c:v>
                </c:pt>
                <c:pt idx="121">
                  <c:v>817</c:v>
                </c:pt>
                <c:pt idx="122">
                  <c:v>818</c:v>
                </c:pt>
                <c:pt idx="123">
                  <c:v>818</c:v>
                </c:pt>
                <c:pt idx="124">
                  <c:v>818</c:v>
                </c:pt>
                <c:pt idx="125">
                  <c:v>818</c:v>
                </c:pt>
                <c:pt idx="126">
                  <c:v>820</c:v>
                </c:pt>
                <c:pt idx="127">
                  <c:v>817</c:v>
                </c:pt>
                <c:pt idx="128">
                  <c:v>817</c:v>
                </c:pt>
                <c:pt idx="129">
                  <c:v>817</c:v>
                </c:pt>
                <c:pt idx="130">
                  <c:v>819</c:v>
                </c:pt>
                <c:pt idx="131">
                  <c:v>819</c:v>
                </c:pt>
                <c:pt idx="132">
                  <c:v>818</c:v>
                </c:pt>
                <c:pt idx="133">
                  <c:v>819</c:v>
                </c:pt>
                <c:pt idx="134">
                  <c:v>819</c:v>
                </c:pt>
                <c:pt idx="135">
                  <c:v>818</c:v>
                </c:pt>
                <c:pt idx="136">
                  <c:v>818</c:v>
                </c:pt>
                <c:pt idx="137">
                  <c:v>817</c:v>
                </c:pt>
                <c:pt idx="138">
                  <c:v>817</c:v>
                </c:pt>
                <c:pt idx="139">
                  <c:v>818</c:v>
                </c:pt>
                <c:pt idx="140">
                  <c:v>819</c:v>
                </c:pt>
                <c:pt idx="141">
                  <c:v>818</c:v>
                </c:pt>
                <c:pt idx="142">
                  <c:v>818</c:v>
                </c:pt>
                <c:pt idx="143">
                  <c:v>819</c:v>
                </c:pt>
                <c:pt idx="144">
                  <c:v>818</c:v>
                </c:pt>
                <c:pt idx="145">
                  <c:v>818</c:v>
                </c:pt>
                <c:pt idx="146">
                  <c:v>818</c:v>
                </c:pt>
                <c:pt idx="147">
                  <c:v>818</c:v>
                </c:pt>
                <c:pt idx="148">
                  <c:v>818</c:v>
                </c:pt>
                <c:pt idx="149">
                  <c:v>819</c:v>
                </c:pt>
                <c:pt idx="150">
                  <c:v>819</c:v>
                </c:pt>
                <c:pt idx="151">
                  <c:v>818</c:v>
                </c:pt>
                <c:pt idx="152">
                  <c:v>818</c:v>
                </c:pt>
                <c:pt idx="153">
                  <c:v>817</c:v>
                </c:pt>
                <c:pt idx="154">
                  <c:v>817</c:v>
                </c:pt>
                <c:pt idx="155">
                  <c:v>818</c:v>
                </c:pt>
                <c:pt idx="156">
                  <c:v>818</c:v>
                </c:pt>
                <c:pt idx="157">
                  <c:v>817</c:v>
                </c:pt>
                <c:pt idx="158">
                  <c:v>818</c:v>
                </c:pt>
                <c:pt idx="159">
                  <c:v>819</c:v>
                </c:pt>
                <c:pt idx="160">
                  <c:v>819</c:v>
                </c:pt>
                <c:pt idx="161">
                  <c:v>820</c:v>
                </c:pt>
                <c:pt idx="162">
                  <c:v>819</c:v>
                </c:pt>
                <c:pt idx="163">
                  <c:v>819</c:v>
                </c:pt>
                <c:pt idx="164">
                  <c:v>820</c:v>
                </c:pt>
                <c:pt idx="165">
                  <c:v>819</c:v>
                </c:pt>
                <c:pt idx="166">
                  <c:v>819</c:v>
                </c:pt>
                <c:pt idx="167">
                  <c:v>819</c:v>
                </c:pt>
                <c:pt idx="168">
                  <c:v>819</c:v>
                </c:pt>
                <c:pt idx="169">
                  <c:v>820</c:v>
                </c:pt>
                <c:pt idx="170">
                  <c:v>820</c:v>
                </c:pt>
                <c:pt idx="171">
                  <c:v>819</c:v>
                </c:pt>
                <c:pt idx="172">
                  <c:v>818</c:v>
                </c:pt>
                <c:pt idx="173">
                  <c:v>819</c:v>
                </c:pt>
                <c:pt idx="174">
                  <c:v>819</c:v>
                </c:pt>
                <c:pt idx="175">
                  <c:v>819</c:v>
                </c:pt>
                <c:pt idx="176">
                  <c:v>819</c:v>
                </c:pt>
                <c:pt idx="177">
                  <c:v>819</c:v>
                </c:pt>
                <c:pt idx="178">
                  <c:v>819</c:v>
                </c:pt>
                <c:pt idx="179">
                  <c:v>819</c:v>
                </c:pt>
                <c:pt idx="180">
                  <c:v>820</c:v>
                </c:pt>
                <c:pt idx="181">
                  <c:v>820</c:v>
                </c:pt>
                <c:pt idx="182">
                  <c:v>819</c:v>
                </c:pt>
                <c:pt idx="183">
                  <c:v>818</c:v>
                </c:pt>
                <c:pt idx="184">
                  <c:v>819</c:v>
                </c:pt>
                <c:pt idx="185">
                  <c:v>819</c:v>
                </c:pt>
                <c:pt idx="186">
                  <c:v>818</c:v>
                </c:pt>
                <c:pt idx="187">
                  <c:v>821</c:v>
                </c:pt>
                <c:pt idx="188">
                  <c:v>819</c:v>
                </c:pt>
                <c:pt idx="189">
                  <c:v>819</c:v>
                </c:pt>
                <c:pt idx="190">
                  <c:v>817</c:v>
                </c:pt>
                <c:pt idx="191">
                  <c:v>819</c:v>
                </c:pt>
                <c:pt idx="192">
                  <c:v>821</c:v>
                </c:pt>
                <c:pt idx="193">
                  <c:v>819</c:v>
                </c:pt>
                <c:pt idx="194">
                  <c:v>820</c:v>
                </c:pt>
                <c:pt idx="195">
                  <c:v>820</c:v>
                </c:pt>
                <c:pt idx="196">
                  <c:v>819</c:v>
                </c:pt>
                <c:pt idx="197">
                  <c:v>819</c:v>
                </c:pt>
                <c:pt idx="198">
                  <c:v>819</c:v>
                </c:pt>
                <c:pt idx="199">
                  <c:v>817</c:v>
                </c:pt>
                <c:pt idx="200">
                  <c:v>820</c:v>
                </c:pt>
                <c:pt idx="201">
                  <c:v>821</c:v>
                </c:pt>
                <c:pt idx="202">
                  <c:v>820</c:v>
                </c:pt>
                <c:pt idx="203">
                  <c:v>819</c:v>
                </c:pt>
                <c:pt idx="204">
                  <c:v>819</c:v>
                </c:pt>
                <c:pt idx="205">
                  <c:v>820</c:v>
                </c:pt>
                <c:pt idx="206">
                  <c:v>819</c:v>
                </c:pt>
                <c:pt idx="207">
                  <c:v>819</c:v>
                </c:pt>
                <c:pt idx="208">
                  <c:v>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42-47AE-ABEF-45FA859BF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897072"/>
        <c:axId val="1143059088"/>
      </c:lineChart>
      <c:catAx>
        <c:axId val="1144897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3059088"/>
        <c:crosses val="autoZero"/>
        <c:auto val="1"/>
        <c:lblAlgn val="ctr"/>
        <c:lblOffset val="100"/>
        <c:noMultiLvlLbl val="0"/>
      </c:catAx>
      <c:valAx>
        <c:axId val="1143059088"/>
        <c:scaling>
          <c:orientation val="minMax"/>
          <c:max val="821"/>
          <c:min val="8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48970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test!$G$2:$G$210</c:f>
              <c:numCache>
                <c:formatCode>General</c:formatCode>
                <c:ptCount val="209"/>
                <c:pt idx="0">
                  <c:v>22.528048780487804</c:v>
                </c:pt>
                <c:pt idx="1">
                  <c:v>22.666666666666668</c:v>
                </c:pt>
                <c:pt idx="2">
                  <c:v>22.528048780487804</c:v>
                </c:pt>
                <c:pt idx="3">
                  <c:v>22.666666666666668</c:v>
                </c:pt>
                <c:pt idx="4">
                  <c:v>22.666666666666668</c:v>
                </c:pt>
                <c:pt idx="5">
                  <c:v>22.80562347188264</c:v>
                </c:pt>
                <c:pt idx="6">
                  <c:v>22.80562347188264</c:v>
                </c:pt>
                <c:pt idx="7">
                  <c:v>22.528048780487804</c:v>
                </c:pt>
                <c:pt idx="8">
                  <c:v>22.528048780487804</c:v>
                </c:pt>
                <c:pt idx="9">
                  <c:v>22.666666666666668</c:v>
                </c:pt>
                <c:pt idx="10">
                  <c:v>22.80562347188264</c:v>
                </c:pt>
                <c:pt idx="11">
                  <c:v>22.666666666666668</c:v>
                </c:pt>
                <c:pt idx="12">
                  <c:v>22.666666666666668</c:v>
                </c:pt>
                <c:pt idx="13">
                  <c:v>22.80562347188264</c:v>
                </c:pt>
                <c:pt idx="14">
                  <c:v>22.80562347188264</c:v>
                </c:pt>
                <c:pt idx="15">
                  <c:v>22.80562347188264</c:v>
                </c:pt>
                <c:pt idx="16">
                  <c:v>22.528048780487804</c:v>
                </c:pt>
                <c:pt idx="17">
                  <c:v>22.666666666666668</c:v>
                </c:pt>
                <c:pt idx="18">
                  <c:v>22.944920440636476</c:v>
                </c:pt>
                <c:pt idx="19">
                  <c:v>22.666666666666668</c:v>
                </c:pt>
                <c:pt idx="20">
                  <c:v>22.666666666666668</c:v>
                </c:pt>
                <c:pt idx="21">
                  <c:v>22.80562347188264</c:v>
                </c:pt>
                <c:pt idx="22">
                  <c:v>22.666666666666668</c:v>
                </c:pt>
                <c:pt idx="23">
                  <c:v>22.666666666666668</c:v>
                </c:pt>
                <c:pt idx="24">
                  <c:v>22.666666666666668</c:v>
                </c:pt>
                <c:pt idx="25">
                  <c:v>22.944920440636476</c:v>
                </c:pt>
                <c:pt idx="26">
                  <c:v>22.80562347188264</c:v>
                </c:pt>
                <c:pt idx="27">
                  <c:v>22.666666666666668</c:v>
                </c:pt>
                <c:pt idx="28">
                  <c:v>22.80562347188264</c:v>
                </c:pt>
                <c:pt idx="29">
                  <c:v>22.80562347188264</c:v>
                </c:pt>
                <c:pt idx="30">
                  <c:v>22.666666666666668</c:v>
                </c:pt>
                <c:pt idx="31">
                  <c:v>22.666666666666668</c:v>
                </c:pt>
                <c:pt idx="32">
                  <c:v>22.666666666666668</c:v>
                </c:pt>
                <c:pt idx="33">
                  <c:v>22.80562347188264</c:v>
                </c:pt>
                <c:pt idx="34">
                  <c:v>22.80562347188264</c:v>
                </c:pt>
                <c:pt idx="35">
                  <c:v>22.80562347188264</c:v>
                </c:pt>
                <c:pt idx="36">
                  <c:v>22.666666666666668</c:v>
                </c:pt>
                <c:pt idx="37">
                  <c:v>22.666666666666668</c:v>
                </c:pt>
                <c:pt idx="38">
                  <c:v>22.944920440636476</c:v>
                </c:pt>
                <c:pt idx="39">
                  <c:v>22.80562347188264</c:v>
                </c:pt>
                <c:pt idx="40">
                  <c:v>22.666666666666668</c:v>
                </c:pt>
                <c:pt idx="41">
                  <c:v>22.80562347188264</c:v>
                </c:pt>
                <c:pt idx="42">
                  <c:v>22.666666666666668</c:v>
                </c:pt>
                <c:pt idx="43">
                  <c:v>22.80562347188264</c:v>
                </c:pt>
                <c:pt idx="44">
                  <c:v>22.944920440636476</c:v>
                </c:pt>
                <c:pt idx="45">
                  <c:v>22.944920440636476</c:v>
                </c:pt>
                <c:pt idx="46">
                  <c:v>22.528048780487804</c:v>
                </c:pt>
                <c:pt idx="47">
                  <c:v>22.666666666666668</c:v>
                </c:pt>
                <c:pt idx="48">
                  <c:v>22.80562347188264</c:v>
                </c:pt>
                <c:pt idx="49">
                  <c:v>22.528048780487804</c:v>
                </c:pt>
                <c:pt idx="50">
                  <c:v>22.666666666666668</c:v>
                </c:pt>
                <c:pt idx="51">
                  <c:v>22.666666666666668</c:v>
                </c:pt>
                <c:pt idx="52">
                  <c:v>22.944920440636476</c:v>
                </c:pt>
                <c:pt idx="53">
                  <c:v>22.80562347188264</c:v>
                </c:pt>
                <c:pt idx="54">
                  <c:v>22.80562347188264</c:v>
                </c:pt>
                <c:pt idx="55">
                  <c:v>22.666666666666668</c:v>
                </c:pt>
                <c:pt idx="56">
                  <c:v>22.666666666666668</c:v>
                </c:pt>
                <c:pt idx="57">
                  <c:v>22.666666666666668</c:v>
                </c:pt>
                <c:pt idx="58">
                  <c:v>22.666666666666668</c:v>
                </c:pt>
                <c:pt idx="59">
                  <c:v>22.944920440636476</c:v>
                </c:pt>
                <c:pt idx="60">
                  <c:v>22.944920440636476</c:v>
                </c:pt>
                <c:pt idx="61">
                  <c:v>22.666666666666668</c:v>
                </c:pt>
                <c:pt idx="62">
                  <c:v>22.666666666666668</c:v>
                </c:pt>
                <c:pt idx="63">
                  <c:v>22.944920440636476</c:v>
                </c:pt>
                <c:pt idx="64">
                  <c:v>22.666666666666668</c:v>
                </c:pt>
                <c:pt idx="65">
                  <c:v>22.666666666666668</c:v>
                </c:pt>
                <c:pt idx="66">
                  <c:v>22.666666666666668</c:v>
                </c:pt>
                <c:pt idx="67">
                  <c:v>22.80562347188264</c:v>
                </c:pt>
                <c:pt idx="68">
                  <c:v>22.666666666666668</c:v>
                </c:pt>
                <c:pt idx="69">
                  <c:v>22.666666666666668</c:v>
                </c:pt>
                <c:pt idx="70">
                  <c:v>22.80562347188264</c:v>
                </c:pt>
                <c:pt idx="71">
                  <c:v>22.666666666666668</c:v>
                </c:pt>
                <c:pt idx="72">
                  <c:v>22.666666666666668</c:v>
                </c:pt>
                <c:pt idx="73">
                  <c:v>22.666666666666668</c:v>
                </c:pt>
                <c:pt idx="74">
                  <c:v>22.666666666666668</c:v>
                </c:pt>
                <c:pt idx="75">
                  <c:v>22.666666666666668</c:v>
                </c:pt>
                <c:pt idx="76">
                  <c:v>22.80562347188264</c:v>
                </c:pt>
                <c:pt idx="77">
                  <c:v>22.666666666666668</c:v>
                </c:pt>
                <c:pt idx="78">
                  <c:v>22.666666666666668</c:v>
                </c:pt>
                <c:pt idx="79">
                  <c:v>22.80562347188264</c:v>
                </c:pt>
                <c:pt idx="80">
                  <c:v>22.666666666666668</c:v>
                </c:pt>
                <c:pt idx="81">
                  <c:v>22.80562347188264</c:v>
                </c:pt>
                <c:pt idx="82">
                  <c:v>22.528048780487804</c:v>
                </c:pt>
                <c:pt idx="83">
                  <c:v>22.666666666666668</c:v>
                </c:pt>
                <c:pt idx="84">
                  <c:v>22.80562347188264</c:v>
                </c:pt>
                <c:pt idx="85">
                  <c:v>22.666666666666668</c:v>
                </c:pt>
                <c:pt idx="86">
                  <c:v>22.80562347188264</c:v>
                </c:pt>
                <c:pt idx="87">
                  <c:v>22.80562347188264</c:v>
                </c:pt>
                <c:pt idx="88">
                  <c:v>22.80562347188264</c:v>
                </c:pt>
                <c:pt idx="89">
                  <c:v>22.666666666666668</c:v>
                </c:pt>
                <c:pt idx="90">
                  <c:v>22.944920440636476</c:v>
                </c:pt>
                <c:pt idx="91">
                  <c:v>22.80562347188264</c:v>
                </c:pt>
                <c:pt idx="92">
                  <c:v>22.80562347188264</c:v>
                </c:pt>
                <c:pt idx="93">
                  <c:v>22.80562347188264</c:v>
                </c:pt>
                <c:pt idx="94">
                  <c:v>22.80562347188264</c:v>
                </c:pt>
                <c:pt idx="95">
                  <c:v>22.80562347188264</c:v>
                </c:pt>
                <c:pt idx="96">
                  <c:v>22.944920440636476</c:v>
                </c:pt>
                <c:pt idx="97">
                  <c:v>22.944920440636476</c:v>
                </c:pt>
                <c:pt idx="98">
                  <c:v>22.944920440636476</c:v>
                </c:pt>
                <c:pt idx="99">
                  <c:v>22.80562347188264</c:v>
                </c:pt>
                <c:pt idx="100">
                  <c:v>22.666666666666668</c:v>
                </c:pt>
                <c:pt idx="101">
                  <c:v>22.80562347188264</c:v>
                </c:pt>
                <c:pt idx="102">
                  <c:v>22.80562347188264</c:v>
                </c:pt>
                <c:pt idx="103">
                  <c:v>22.666666666666668</c:v>
                </c:pt>
                <c:pt idx="104">
                  <c:v>22.80562347188264</c:v>
                </c:pt>
                <c:pt idx="105">
                  <c:v>22.666666666666668</c:v>
                </c:pt>
                <c:pt idx="106">
                  <c:v>22.80562347188264</c:v>
                </c:pt>
                <c:pt idx="107">
                  <c:v>22.944920440636476</c:v>
                </c:pt>
                <c:pt idx="108">
                  <c:v>22.944920440636476</c:v>
                </c:pt>
                <c:pt idx="109">
                  <c:v>22.944920440636476</c:v>
                </c:pt>
                <c:pt idx="110">
                  <c:v>22.528048780487804</c:v>
                </c:pt>
                <c:pt idx="111">
                  <c:v>22.666666666666668</c:v>
                </c:pt>
                <c:pt idx="112">
                  <c:v>22.666666666666668</c:v>
                </c:pt>
                <c:pt idx="113">
                  <c:v>22.80562347188264</c:v>
                </c:pt>
                <c:pt idx="114">
                  <c:v>22.80562347188264</c:v>
                </c:pt>
                <c:pt idx="115">
                  <c:v>22.944920440636476</c:v>
                </c:pt>
                <c:pt idx="116">
                  <c:v>22.944920440636476</c:v>
                </c:pt>
                <c:pt idx="117">
                  <c:v>22.944920440636476</c:v>
                </c:pt>
                <c:pt idx="118">
                  <c:v>22.80562347188264</c:v>
                </c:pt>
                <c:pt idx="119">
                  <c:v>22.944920440636476</c:v>
                </c:pt>
                <c:pt idx="120">
                  <c:v>22.666666666666668</c:v>
                </c:pt>
                <c:pt idx="121">
                  <c:v>22.944920440636476</c:v>
                </c:pt>
                <c:pt idx="122">
                  <c:v>22.80562347188264</c:v>
                </c:pt>
                <c:pt idx="123">
                  <c:v>22.80562347188264</c:v>
                </c:pt>
                <c:pt idx="124">
                  <c:v>22.80562347188264</c:v>
                </c:pt>
                <c:pt idx="125">
                  <c:v>22.80562347188264</c:v>
                </c:pt>
                <c:pt idx="126">
                  <c:v>22.528048780487804</c:v>
                </c:pt>
                <c:pt idx="127">
                  <c:v>22.944920440636476</c:v>
                </c:pt>
                <c:pt idx="128">
                  <c:v>22.944920440636476</c:v>
                </c:pt>
                <c:pt idx="129">
                  <c:v>22.944920440636476</c:v>
                </c:pt>
                <c:pt idx="130">
                  <c:v>22.666666666666668</c:v>
                </c:pt>
                <c:pt idx="131">
                  <c:v>22.666666666666668</c:v>
                </c:pt>
                <c:pt idx="132">
                  <c:v>22.80562347188264</c:v>
                </c:pt>
                <c:pt idx="133">
                  <c:v>22.666666666666668</c:v>
                </c:pt>
                <c:pt idx="134">
                  <c:v>22.666666666666668</c:v>
                </c:pt>
                <c:pt idx="135">
                  <c:v>22.80562347188264</c:v>
                </c:pt>
                <c:pt idx="136">
                  <c:v>22.80562347188264</c:v>
                </c:pt>
                <c:pt idx="137">
                  <c:v>22.944920440636476</c:v>
                </c:pt>
                <c:pt idx="138">
                  <c:v>22.944920440636476</c:v>
                </c:pt>
                <c:pt idx="139">
                  <c:v>22.80562347188264</c:v>
                </c:pt>
                <c:pt idx="140">
                  <c:v>22.666666666666668</c:v>
                </c:pt>
                <c:pt idx="141">
                  <c:v>22.80562347188264</c:v>
                </c:pt>
                <c:pt idx="142">
                  <c:v>22.80562347188264</c:v>
                </c:pt>
                <c:pt idx="143">
                  <c:v>22.666666666666668</c:v>
                </c:pt>
                <c:pt idx="144">
                  <c:v>22.80562347188264</c:v>
                </c:pt>
                <c:pt idx="145">
                  <c:v>22.80562347188264</c:v>
                </c:pt>
                <c:pt idx="146">
                  <c:v>22.80562347188264</c:v>
                </c:pt>
                <c:pt idx="147">
                  <c:v>22.80562347188264</c:v>
                </c:pt>
                <c:pt idx="148">
                  <c:v>22.80562347188264</c:v>
                </c:pt>
                <c:pt idx="149">
                  <c:v>22.666666666666668</c:v>
                </c:pt>
                <c:pt idx="150">
                  <c:v>22.666666666666668</c:v>
                </c:pt>
                <c:pt idx="151">
                  <c:v>22.80562347188264</c:v>
                </c:pt>
                <c:pt idx="152">
                  <c:v>22.80562347188264</c:v>
                </c:pt>
                <c:pt idx="153">
                  <c:v>22.944920440636476</c:v>
                </c:pt>
                <c:pt idx="154">
                  <c:v>22.944920440636476</c:v>
                </c:pt>
                <c:pt idx="155">
                  <c:v>22.80562347188264</c:v>
                </c:pt>
                <c:pt idx="156">
                  <c:v>22.80562347188264</c:v>
                </c:pt>
                <c:pt idx="157">
                  <c:v>22.944920440636476</c:v>
                </c:pt>
                <c:pt idx="158">
                  <c:v>22.80562347188264</c:v>
                </c:pt>
                <c:pt idx="159">
                  <c:v>22.666666666666668</c:v>
                </c:pt>
                <c:pt idx="160">
                  <c:v>22.666666666666668</c:v>
                </c:pt>
                <c:pt idx="161">
                  <c:v>22.528048780487804</c:v>
                </c:pt>
                <c:pt idx="162">
                  <c:v>22.666666666666668</c:v>
                </c:pt>
                <c:pt idx="163">
                  <c:v>22.666666666666668</c:v>
                </c:pt>
                <c:pt idx="164">
                  <c:v>22.528048780487804</c:v>
                </c:pt>
                <c:pt idx="165">
                  <c:v>22.666666666666668</c:v>
                </c:pt>
                <c:pt idx="166">
                  <c:v>22.666666666666668</c:v>
                </c:pt>
                <c:pt idx="167">
                  <c:v>22.666666666666668</c:v>
                </c:pt>
                <c:pt idx="168">
                  <c:v>22.666666666666668</c:v>
                </c:pt>
                <c:pt idx="169">
                  <c:v>22.528048780487804</c:v>
                </c:pt>
                <c:pt idx="170">
                  <c:v>22.528048780487804</c:v>
                </c:pt>
                <c:pt idx="171">
                  <c:v>22.666666666666668</c:v>
                </c:pt>
                <c:pt idx="172">
                  <c:v>22.80562347188264</c:v>
                </c:pt>
                <c:pt idx="173">
                  <c:v>22.666666666666668</c:v>
                </c:pt>
                <c:pt idx="174">
                  <c:v>22.666666666666668</c:v>
                </c:pt>
                <c:pt idx="175">
                  <c:v>22.666666666666668</c:v>
                </c:pt>
                <c:pt idx="176">
                  <c:v>22.666666666666668</c:v>
                </c:pt>
                <c:pt idx="177">
                  <c:v>22.666666666666668</c:v>
                </c:pt>
                <c:pt idx="178">
                  <c:v>22.666666666666668</c:v>
                </c:pt>
                <c:pt idx="179">
                  <c:v>22.666666666666668</c:v>
                </c:pt>
                <c:pt idx="180">
                  <c:v>22.528048780487804</c:v>
                </c:pt>
                <c:pt idx="181">
                  <c:v>22.528048780487804</c:v>
                </c:pt>
                <c:pt idx="182">
                  <c:v>22.666666666666668</c:v>
                </c:pt>
                <c:pt idx="183">
                  <c:v>22.80562347188264</c:v>
                </c:pt>
                <c:pt idx="184">
                  <c:v>22.666666666666668</c:v>
                </c:pt>
                <c:pt idx="185">
                  <c:v>22.666666666666668</c:v>
                </c:pt>
                <c:pt idx="186">
                  <c:v>22.80562347188264</c:v>
                </c:pt>
                <c:pt idx="187">
                  <c:v>22.389768574908647</c:v>
                </c:pt>
                <c:pt idx="188">
                  <c:v>22.666666666666668</c:v>
                </c:pt>
                <c:pt idx="189">
                  <c:v>22.666666666666668</c:v>
                </c:pt>
                <c:pt idx="190">
                  <c:v>22.944920440636476</c:v>
                </c:pt>
                <c:pt idx="191">
                  <c:v>22.666666666666668</c:v>
                </c:pt>
                <c:pt idx="192">
                  <c:v>22.389768574908647</c:v>
                </c:pt>
                <c:pt idx="193">
                  <c:v>22.666666666666668</c:v>
                </c:pt>
                <c:pt idx="194">
                  <c:v>22.528048780487804</c:v>
                </c:pt>
                <c:pt idx="195">
                  <c:v>22.528048780487804</c:v>
                </c:pt>
                <c:pt idx="196">
                  <c:v>22.666666666666668</c:v>
                </c:pt>
                <c:pt idx="197">
                  <c:v>22.666666666666668</c:v>
                </c:pt>
                <c:pt idx="198">
                  <c:v>22.666666666666668</c:v>
                </c:pt>
                <c:pt idx="199">
                  <c:v>22.944920440636476</c:v>
                </c:pt>
                <c:pt idx="200">
                  <c:v>22.528048780487804</c:v>
                </c:pt>
                <c:pt idx="201">
                  <c:v>22.389768574908647</c:v>
                </c:pt>
                <c:pt idx="202">
                  <c:v>22.528048780487804</c:v>
                </c:pt>
                <c:pt idx="203">
                  <c:v>22.666666666666668</c:v>
                </c:pt>
                <c:pt idx="204">
                  <c:v>22.666666666666668</c:v>
                </c:pt>
                <c:pt idx="205">
                  <c:v>22.528048780487804</c:v>
                </c:pt>
                <c:pt idx="206">
                  <c:v>22.666666666666668</c:v>
                </c:pt>
                <c:pt idx="207">
                  <c:v>22.666666666666668</c:v>
                </c:pt>
                <c:pt idx="208">
                  <c:v>22.666666666666668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C2-4E7A-83F7-5DA5C7BD9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4897072"/>
        <c:axId val="1143059088"/>
      </c:lineChart>
      <c:catAx>
        <c:axId val="11448970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3059088"/>
        <c:crosses val="autoZero"/>
        <c:auto val="1"/>
        <c:lblAlgn val="ctr"/>
        <c:lblOffset val="100"/>
        <c:noMultiLvlLbl val="0"/>
      </c:catAx>
      <c:valAx>
        <c:axId val="114305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14489707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40298</xdr:colOff>
      <xdr:row>2</xdr:row>
      <xdr:rowOff>26010</xdr:rowOff>
    </xdr:from>
    <xdr:to>
      <xdr:col>39</xdr:col>
      <xdr:colOff>261106</xdr:colOff>
      <xdr:row>19</xdr:row>
      <xdr:rowOff>16485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23C6132-6E80-4620-A8CC-2B6B1A29B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29307</xdr:colOff>
      <xdr:row>19</xdr:row>
      <xdr:rowOff>51288</xdr:rowOff>
    </xdr:from>
    <xdr:to>
      <xdr:col>39</xdr:col>
      <xdr:colOff>250115</xdr:colOff>
      <xdr:row>36</xdr:row>
      <xdr:rowOff>41763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066096A-C190-4EA6-9D46-B4206DFA18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F19"/>
  <sheetViews>
    <sheetView workbookViewId="0">
      <selection activeCell="H7" sqref="H7"/>
    </sheetView>
  </sheetViews>
  <sheetFormatPr defaultRowHeight="12.75" x14ac:dyDescent="0.2"/>
  <cols>
    <col min="1" max="1" width="9.140625" style="4"/>
    <col min="2" max="2" width="10.28515625" style="6" bestFit="1" customWidth="1"/>
    <col min="3" max="6" width="9.140625" style="4"/>
  </cols>
  <sheetData>
    <row r="1" spans="1:6" x14ac:dyDescent="0.2">
      <c r="A1" s="5" t="s">
        <v>27</v>
      </c>
      <c r="B1" s="7" t="s">
        <v>28</v>
      </c>
      <c r="C1" s="5" t="s">
        <v>17</v>
      </c>
      <c r="D1" s="5" t="s">
        <v>29</v>
      </c>
      <c r="E1" s="5" t="s">
        <v>30</v>
      </c>
      <c r="F1" s="5" t="s">
        <v>31</v>
      </c>
    </row>
    <row r="2" spans="1:6" x14ac:dyDescent="0.2">
      <c r="A2" s="8">
        <v>0.5540856481481482</v>
      </c>
      <c r="B2" s="6">
        <v>1.8046880000000001</v>
      </c>
      <c r="C2" s="4">
        <v>860</v>
      </c>
      <c r="D2" s="4" t="s">
        <v>32</v>
      </c>
      <c r="E2" s="9">
        <v>0.66</v>
      </c>
      <c r="F2" s="4" t="s">
        <v>33</v>
      </c>
    </row>
    <row r="3" spans="1:6" x14ac:dyDescent="0.2">
      <c r="A3" s="8">
        <v>0.55410879629629628</v>
      </c>
      <c r="B3" s="6">
        <v>3.8125</v>
      </c>
      <c r="C3" s="4">
        <v>849</v>
      </c>
      <c r="D3" s="4" t="s">
        <v>32</v>
      </c>
      <c r="E3" s="9">
        <v>0.66</v>
      </c>
      <c r="F3" s="4" t="s">
        <v>33</v>
      </c>
    </row>
    <row r="4" spans="1:6" x14ac:dyDescent="0.2">
      <c r="A4" s="8">
        <v>0.55043981481481485</v>
      </c>
      <c r="B4" s="6">
        <v>5.8554690000000003</v>
      </c>
      <c r="C4" s="4">
        <v>0</v>
      </c>
      <c r="D4" s="4" t="s">
        <v>24</v>
      </c>
      <c r="E4" s="9">
        <v>0.64</v>
      </c>
      <c r="F4" s="4" t="s">
        <v>25</v>
      </c>
    </row>
    <row r="5" spans="1:6" x14ac:dyDescent="0.2">
      <c r="A5" s="8">
        <v>0.55046296296296293</v>
      </c>
      <c r="B5" s="6">
        <v>7.8984379999999996</v>
      </c>
      <c r="C5" s="4">
        <v>1</v>
      </c>
      <c r="D5" s="4" t="s">
        <v>24</v>
      </c>
      <c r="E5" s="9">
        <v>0.64</v>
      </c>
      <c r="F5" s="4" t="s">
        <v>25</v>
      </c>
    </row>
    <row r="6" spans="1:6" x14ac:dyDescent="0.2">
      <c r="A6" s="8">
        <v>0.55048611111111112</v>
      </c>
      <c r="B6" s="6">
        <v>9.9296880000000005</v>
      </c>
      <c r="C6" s="4">
        <v>0</v>
      </c>
      <c r="D6" s="4" t="s">
        <v>24</v>
      </c>
      <c r="E6" s="9">
        <v>0.64</v>
      </c>
      <c r="F6" s="4" t="s">
        <v>25</v>
      </c>
    </row>
    <row r="7" spans="1:6" x14ac:dyDescent="0.2">
      <c r="A7" s="8">
        <v>0.55050925925925931</v>
      </c>
      <c r="B7" s="6">
        <v>11.964840000000001</v>
      </c>
      <c r="C7" s="4">
        <v>9</v>
      </c>
      <c r="D7" s="4" t="s">
        <v>26</v>
      </c>
      <c r="E7" s="4" t="s">
        <v>26</v>
      </c>
      <c r="F7" s="4">
        <v>21</v>
      </c>
    </row>
    <row r="8" spans="1:6" x14ac:dyDescent="0.2">
      <c r="A8" s="8">
        <v>0.55053240740740739</v>
      </c>
      <c r="B8" s="6">
        <v>14.01172</v>
      </c>
      <c r="C8" s="4">
        <v>0</v>
      </c>
      <c r="D8" s="4" t="s">
        <v>24</v>
      </c>
      <c r="E8" s="9">
        <v>0.64</v>
      </c>
      <c r="F8" s="4" t="s">
        <v>25</v>
      </c>
    </row>
    <row r="9" spans="1:6" x14ac:dyDescent="0.2">
      <c r="A9" s="8">
        <v>0.55055555555555558</v>
      </c>
      <c r="B9" s="6">
        <v>16.058589999999999</v>
      </c>
      <c r="C9" s="4">
        <v>5</v>
      </c>
      <c r="D9" s="4" t="s">
        <v>24</v>
      </c>
      <c r="E9" s="9">
        <v>0.64</v>
      </c>
      <c r="F9" s="4" t="s">
        <v>25</v>
      </c>
    </row>
    <row r="10" spans="1:6" x14ac:dyDescent="0.2">
      <c r="A10" s="8">
        <v>0.55057870370370365</v>
      </c>
      <c r="B10" s="6">
        <v>18.10547</v>
      </c>
      <c r="C10" s="4">
        <v>0</v>
      </c>
      <c r="D10" s="4" t="s">
        <v>24</v>
      </c>
      <c r="E10" s="9">
        <v>0.64</v>
      </c>
      <c r="F10" s="4" t="s">
        <v>25</v>
      </c>
    </row>
    <row r="11" spans="1:6" x14ac:dyDescent="0.2">
      <c r="A11" s="8">
        <v>0.55060185185185184</v>
      </c>
      <c r="B11" s="6">
        <v>20.14453</v>
      </c>
      <c r="C11" s="4">
        <v>3</v>
      </c>
      <c r="D11" s="4" t="s">
        <v>24</v>
      </c>
      <c r="E11" s="9">
        <v>0.64</v>
      </c>
      <c r="F11" s="4" t="s">
        <v>25</v>
      </c>
    </row>
    <row r="12" spans="1:6" x14ac:dyDescent="0.2">
      <c r="A12" s="8">
        <v>0.55062500000000003</v>
      </c>
      <c r="B12" s="6">
        <v>22.17578</v>
      </c>
      <c r="C12" s="4">
        <v>4</v>
      </c>
      <c r="D12" s="4" t="s">
        <v>24</v>
      </c>
      <c r="E12" s="9">
        <v>0.64</v>
      </c>
      <c r="F12" s="4" t="s">
        <v>25</v>
      </c>
    </row>
    <row r="13" spans="1:6" x14ac:dyDescent="0.2">
      <c r="A13" s="8">
        <v>0.55064814814814811</v>
      </c>
      <c r="B13" s="6">
        <v>24.21875</v>
      </c>
      <c r="C13" s="4">
        <v>0</v>
      </c>
      <c r="D13" s="4" t="s">
        <v>26</v>
      </c>
      <c r="E13" s="4" t="s">
        <v>26</v>
      </c>
      <c r="F13" s="4">
        <v>21</v>
      </c>
    </row>
    <row r="14" spans="1:6" x14ac:dyDescent="0.2">
      <c r="A14" s="8">
        <v>0.5506712962962963</v>
      </c>
      <c r="B14" s="6">
        <v>26.26172</v>
      </c>
      <c r="C14" s="4">
        <v>0</v>
      </c>
      <c r="D14" s="4" t="s">
        <v>24</v>
      </c>
      <c r="E14" s="9">
        <v>0.64</v>
      </c>
      <c r="F14" s="4" t="s">
        <v>25</v>
      </c>
    </row>
    <row r="15" spans="1:6" x14ac:dyDescent="0.2">
      <c r="A15" s="8">
        <v>0.55069444444444449</v>
      </c>
      <c r="B15" s="6">
        <v>28.308589999999999</v>
      </c>
      <c r="C15" s="4">
        <v>0</v>
      </c>
      <c r="D15" s="4" t="s">
        <v>24</v>
      </c>
      <c r="E15" s="9">
        <v>0.64</v>
      </c>
      <c r="F15" s="4" t="s">
        <v>25</v>
      </c>
    </row>
    <row r="16" spans="1:6" x14ac:dyDescent="0.2">
      <c r="A16" s="8">
        <v>0.55071759259259256</v>
      </c>
      <c r="B16" s="6">
        <v>30.339839999999999</v>
      </c>
      <c r="C16" s="4">
        <v>0</v>
      </c>
      <c r="D16" s="4" t="s">
        <v>24</v>
      </c>
      <c r="E16" s="9">
        <v>0.64</v>
      </c>
      <c r="F16" s="4" t="s">
        <v>25</v>
      </c>
    </row>
    <row r="17" spans="1:6" x14ac:dyDescent="0.2">
      <c r="A17" s="8">
        <v>0.55074074074074075</v>
      </c>
      <c r="B17" s="6">
        <v>32.375</v>
      </c>
      <c r="C17" s="4">
        <v>0</v>
      </c>
      <c r="D17" s="4" t="s">
        <v>24</v>
      </c>
      <c r="E17" s="9">
        <v>0.64</v>
      </c>
      <c r="F17" s="4" t="s">
        <v>25</v>
      </c>
    </row>
    <row r="18" spans="1:6" x14ac:dyDescent="0.2">
      <c r="A18" s="8">
        <v>0.55076388888888894</v>
      </c>
      <c r="B18" s="6">
        <v>34.425780000000003</v>
      </c>
      <c r="C18" s="4">
        <v>3</v>
      </c>
      <c r="D18" s="4" t="s">
        <v>24</v>
      </c>
      <c r="E18" s="9">
        <v>0.64</v>
      </c>
      <c r="F18" s="4" t="s">
        <v>25</v>
      </c>
    </row>
    <row r="19" spans="1:6" x14ac:dyDescent="0.2">
      <c r="A19" s="8">
        <v>0.55078703703703702</v>
      </c>
      <c r="B19" s="6">
        <v>36.46875</v>
      </c>
      <c r="C19" s="4">
        <v>0</v>
      </c>
      <c r="D19" s="4" t="s">
        <v>24</v>
      </c>
      <c r="E19" s="9">
        <v>0.64</v>
      </c>
      <c r="F19" s="4" t="s">
        <v>25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3A1A98-4A7E-4ECE-BBB3-539C19F99775}">
  <dimension ref="A1:I21"/>
  <sheetViews>
    <sheetView workbookViewId="0">
      <selection activeCell="I2" sqref="I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9" max="9" width="10.7109375" customWidth="1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0.55421296296296296</v>
      </c>
      <c r="B2" s="6">
        <v>1.8125</v>
      </c>
      <c r="C2" s="4">
        <v>832</v>
      </c>
      <c r="D2" s="4" t="s">
        <v>24</v>
      </c>
      <c r="E2" s="9">
        <v>0.66</v>
      </c>
      <c r="F2" s="4" t="s">
        <v>25</v>
      </c>
      <c r="H2">
        <f>AVERAGE(C2:C21)</f>
        <v>826.4</v>
      </c>
      <c r="I2">
        <f>91*(1023-H2)/H2</f>
        <v>21.64883833494676</v>
      </c>
    </row>
    <row r="3" spans="1:9" x14ac:dyDescent="0.2">
      <c r="A3" s="8">
        <v>0.55423611111111115</v>
      </c>
      <c r="B3" s="6">
        <v>4.3984379999999996</v>
      </c>
      <c r="C3" s="4">
        <v>830</v>
      </c>
      <c r="D3" s="4" t="s">
        <v>24</v>
      </c>
      <c r="E3" s="9">
        <v>0.66</v>
      </c>
      <c r="F3" s="4" t="s">
        <v>25</v>
      </c>
    </row>
    <row r="4" spans="1:9" x14ac:dyDescent="0.2">
      <c r="A4" s="8">
        <v>0.55425925925925923</v>
      </c>
      <c r="B4" s="6">
        <v>5.8632809999999997</v>
      </c>
      <c r="C4" s="4">
        <v>828</v>
      </c>
      <c r="D4" s="4" t="s">
        <v>24</v>
      </c>
      <c r="E4" s="9">
        <v>0.66</v>
      </c>
      <c r="F4" s="4" t="s">
        <v>25</v>
      </c>
    </row>
    <row r="5" spans="1:9" x14ac:dyDescent="0.2">
      <c r="A5" s="8">
        <v>0.55428240740740742</v>
      </c>
      <c r="B5" s="6">
        <v>7.9101559999999997</v>
      </c>
      <c r="C5" s="4">
        <v>830</v>
      </c>
      <c r="D5" s="4" t="s">
        <v>26</v>
      </c>
      <c r="E5" s="4" t="s">
        <v>26</v>
      </c>
      <c r="F5" s="4">
        <v>21</v>
      </c>
    </row>
    <row r="6" spans="1:9" x14ac:dyDescent="0.2">
      <c r="A6" s="8">
        <v>0.55431712962962965</v>
      </c>
      <c r="B6" s="6">
        <v>10.44922</v>
      </c>
      <c r="C6" s="4">
        <v>827</v>
      </c>
      <c r="D6" s="4" t="s">
        <v>26</v>
      </c>
      <c r="E6" s="4" t="s">
        <v>26</v>
      </c>
      <c r="F6" s="4">
        <v>-237</v>
      </c>
    </row>
    <row r="7" spans="1:9" x14ac:dyDescent="0.2">
      <c r="A7" s="8">
        <v>0.55434027777777772</v>
      </c>
      <c r="B7" s="6">
        <v>12.48828</v>
      </c>
      <c r="C7" s="4">
        <v>829</v>
      </c>
      <c r="D7" s="4" t="s">
        <v>24</v>
      </c>
      <c r="E7" s="9">
        <v>0.66</v>
      </c>
      <c r="F7" s="4" t="s">
        <v>25</v>
      </c>
    </row>
    <row r="8" spans="1:9" x14ac:dyDescent="0.2">
      <c r="A8" s="8">
        <v>0.55436342592592591</v>
      </c>
      <c r="B8" s="6">
        <v>14.53125</v>
      </c>
      <c r="C8" s="4">
        <v>826</v>
      </c>
      <c r="D8" s="4" t="s">
        <v>24</v>
      </c>
      <c r="E8" s="9">
        <v>0.66</v>
      </c>
      <c r="F8" s="4" t="s">
        <v>25</v>
      </c>
    </row>
    <row r="9" spans="1:9" x14ac:dyDescent="0.2">
      <c r="A9" s="8">
        <v>0.5543865740740741</v>
      </c>
      <c r="B9" s="6">
        <v>16.566410000000001</v>
      </c>
      <c r="C9" s="4">
        <v>826</v>
      </c>
      <c r="D9" s="4" t="s">
        <v>26</v>
      </c>
      <c r="E9" s="4" t="s">
        <v>26</v>
      </c>
      <c r="F9" s="4">
        <v>21</v>
      </c>
    </row>
    <row r="10" spans="1:9" x14ac:dyDescent="0.2">
      <c r="A10" s="8">
        <v>0.55440972222222218</v>
      </c>
      <c r="B10" s="6">
        <v>18.60547</v>
      </c>
      <c r="C10" s="4">
        <v>827</v>
      </c>
      <c r="D10" s="4" t="s">
        <v>26</v>
      </c>
      <c r="E10" s="4" t="s">
        <v>26</v>
      </c>
      <c r="F10" s="4">
        <v>21</v>
      </c>
    </row>
    <row r="11" spans="1:9" x14ac:dyDescent="0.2">
      <c r="A11" s="8">
        <v>0.55443287037037037</v>
      </c>
      <c r="B11" s="6">
        <v>20.65625</v>
      </c>
      <c r="C11" s="4">
        <v>825</v>
      </c>
      <c r="D11" s="4" t="s">
        <v>24</v>
      </c>
      <c r="E11" s="9">
        <v>0.65</v>
      </c>
      <c r="F11" s="4" t="s">
        <v>25</v>
      </c>
    </row>
    <row r="12" spans="1:9" x14ac:dyDescent="0.2">
      <c r="A12" s="8">
        <v>0.55445601851851856</v>
      </c>
      <c r="B12" s="6">
        <v>22.695309999999999</v>
      </c>
      <c r="C12" s="4">
        <v>825</v>
      </c>
      <c r="D12" s="4" t="s">
        <v>26</v>
      </c>
      <c r="E12" s="4" t="s">
        <v>26</v>
      </c>
      <c r="F12" s="4">
        <v>21</v>
      </c>
    </row>
    <row r="13" spans="1:9" x14ac:dyDescent="0.2">
      <c r="A13" s="8">
        <v>0.55447916666666663</v>
      </c>
      <c r="B13" s="6">
        <v>24.73828</v>
      </c>
      <c r="C13" s="4">
        <v>824</v>
      </c>
      <c r="D13" s="4" t="s">
        <v>24</v>
      </c>
      <c r="E13" s="9">
        <v>0.66</v>
      </c>
      <c r="F13" s="4" t="s">
        <v>25</v>
      </c>
    </row>
    <row r="14" spans="1:9" x14ac:dyDescent="0.2">
      <c r="A14" s="8">
        <v>0.55450231481481482</v>
      </c>
      <c r="B14" s="6">
        <v>26.777339999999999</v>
      </c>
      <c r="C14" s="4">
        <v>826</v>
      </c>
      <c r="D14" s="4" t="s">
        <v>24</v>
      </c>
      <c r="E14" s="9">
        <v>0.66</v>
      </c>
      <c r="F14" s="4" t="s">
        <v>25</v>
      </c>
    </row>
    <row r="15" spans="1:9" x14ac:dyDescent="0.2">
      <c r="A15" s="8">
        <v>0.55452546296296301</v>
      </c>
      <c r="B15" s="6">
        <v>28.8125</v>
      </c>
      <c r="C15" s="4">
        <v>826</v>
      </c>
      <c r="D15" s="4" t="s">
        <v>24</v>
      </c>
      <c r="E15" s="9">
        <v>0.66</v>
      </c>
      <c r="F15" s="4" t="s">
        <v>25</v>
      </c>
    </row>
    <row r="16" spans="1:9" x14ac:dyDescent="0.2">
      <c r="A16" s="8">
        <v>0.55454861111111109</v>
      </c>
      <c r="B16" s="6">
        <v>30.86328</v>
      </c>
      <c r="C16" s="4">
        <v>824</v>
      </c>
      <c r="D16" s="4" t="s">
        <v>24</v>
      </c>
      <c r="E16" s="9">
        <v>0.66</v>
      </c>
      <c r="F16" s="4" t="s">
        <v>25</v>
      </c>
    </row>
    <row r="17" spans="1:6" x14ac:dyDescent="0.2">
      <c r="A17" s="8">
        <v>0.55457175925925928</v>
      </c>
      <c r="B17" s="6">
        <v>32.898440000000001</v>
      </c>
      <c r="C17" s="4">
        <v>825</v>
      </c>
      <c r="D17" s="4" t="s">
        <v>24</v>
      </c>
      <c r="E17" s="9">
        <v>0.66</v>
      </c>
      <c r="F17" s="4" t="s">
        <v>25</v>
      </c>
    </row>
    <row r="18" spans="1:6" x14ac:dyDescent="0.2">
      <c r="A18" s="8">
        <v>0.55459490740740736</v>
      </c>
      <c r="B18" s="6">
        <v>34.945309999999999</v>
      </c>
      <c r="C18" s="4">
        <v>826</v>
      </c>
      <c r="D18" s="4" t="s">
        <v>24</v>
      </c>
      <c r="E18" s="9">
        <v>0.66</v>
      </c>
      <c r="F18" s="4" t="s">
        <v>25</v>
      </c>
    </row>
    <row r="19" spans="1:6" x14ac:dyDescent="0.2">
      <c r="A19" s="8">
        <v>0.55461805555555554</v>
      </c>
      <c r="B19" s="6">
        <v>36.980469999999997</v>
      </c>
      <c r="C19" s="4">
        <v>824</v>
      </c>
      <c r="D19" s="4" t="s">
        <v>24</v>
      </c>
      <c r="E19" s="9">
        <v>0.66</v>
      </c>
      <c r="F19" s="4" t="s">
        <v>25</v>
      </c>
    </row>
    <row r="20" spans="1:6" x14ac:dyDescent="0.2">
      <c r="A20" s="8">
        <v>0.55464120370370373</v>
      </c>
      <c r="B20" s="6">
        <v>39.019530000000003</v>
      </c>
      <c r="C20" s="4">
        <v>824</v>
      </c>
      <c r="D20" s="4" t="s">
        <v>24</v>
      </c>
      <c r="E20" s="9">
        <v>0.66</v>
      </c>
      <c r="F20" s="4" t="s">
        <v>25</v>
      </c>
    </row>
    <row r="21" spans="1:6" x14ac:dyDescent="0.2">
      <c r="A21" s="8">
        <v>0.55466435185185181</v>
      </c>
      <c r="B21" s="6">
        <v>41.0625</v>
      </c>
      <c r="C21" s="4">
        <v>824</v>
      </c>
      <c r="D21" s="4" t="s">
        <v>24</v>
      </c>
      <c r="E21" s="9">
        <v>0.66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A6AA0-7B34-4E20-A60C-8CA3AED583A0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0.55506944444444439</v>
      </c>
      <c r="B2" s="6">
        <v>1.8046880000000001</v>
      </c>
      <c r="C2" s="4">
        <v>789</v>
      </c>
      <c r="D2" s="4" t="s">
        <v>24</v>
      </c>
      <c r="E2" s="9">
        <v>0.67</v>
      </c>
      <c r="F2" s="4" t="s">
        <v>25</v>
      </c>
      <c r="H2">
        <f>AVERAGE(C2:C21)</f>
        <v>794.15</v>
      </c>
      <c r="I2">
        <f>91*(1023-H2)/H2</f>
        <v>26.22344645218158</v>
      </c>
    </row>
    <row r="3" spans="1:9" x14ac:dyDescent="0.2">
      <c r="A3" s="8">
        <v>0.55509259259259258</v>
      </c>
      <c r="B3" s="6">
        <v>3.8203130000000001</v>
      </c>
      <c r="C3" s="4">
        <v>788</v>
      </c>
      <c r="D3" s="4" t="s">
        <v>24</v>
      </c>
      <c r="E3" s="9">
        <v>0.67</v>
      </c>
      <c r="F3" s="4" t="s">
        <v>25</v>
      </c>
    </row>
    <row r="4" spans="1:9" x14ac:dyDescent="0.2">
      <c r="A4" s="8">
        <v>0.55511574074074077</v>
      </c>
      <c r="B4" s="6">
        <v>5.8671879999999996</v>
      </c>
      <c r="C4" s="4">
        <v>791</v>
      </c>
      <c r="D4" s="4" t="s">
        <v>24</v>
      </c>
      <c r="E4" s="9">
        <v>0.67</v>
      </c>
      <c r="F4" s="4" t="s">
        <v>25</v>
      </c>
    </row>
    <row r="5" spans="1:9" x14ac:dyDescent="0.2">
      <c r="A5" s="8">
        <v>0.55513888888888885</v>
      </c>
      <c r="B5" s="6">
        <v>7.8945309999999997</v>
      </c>
      <c r="C5" s="4">
        <v>790</v>
      </c>
      <c r="D5" s="4" t="s">
        <v>24</v>
      </c>
      <c r="E5" s="9">
        <v>0.67</v>
      </c>
      <c r="F5" s="4" t="s">
        <v>25</v>
      </c>
    </row>
    <row r="6" spans="1:9" x14ac:dyDescent="0.2">
      <c r="A6" s="8">
        <v>0.55516203703703704</v>
      </c>
      <c r="B6" s="6">
        <v>9.9453130000000005</v>
      </c>
      <c r="C6" s="4">
        <v>792</v>
      </c>
      <c r="D6" s="4" t="s">
        <v>24</v>
      </c>
      <c r="E6" s="9">
        <v>0.67</v>
      </c>
      <c r="F6" s="4" t="s">
        <v>25</v>
      </c>
    </row>
    <row r="7" spans="1:9" x14ac:dyDescent="0.2">
      <c r="A7" s="8">
        <v>0.55518518518518523</v>
      </c>
      <c r="B7" s="6">
        <v>11.972659999999999</v>
      </c>
      <c r="C7" s="4">
        <v>794</v>
      </c>
      <c r="D7" s="4" t="s">
        <v>26</v>
      </c>
      <c r="E7" s="4" t="s">
        <v>26</v>
      </c>
      <c r="F7" s="4">
        <v>21</v>
      </c>
    </row>
    <row r="8" spans="1:9" x14ac:dyDescent="0.2">
      <c r="A8" s="8">
        <v>0.5552083333333333</v>
      </c>
      <c r="B8" s="6">
        <v>14.03125</v>
      </c>
      <c r="C8" s="4">
        <v>793</v>
      </c>
      <c r="D8" s="4" t="s">
        <v>24</v>
      </c>
      <c r="E8" s="9">
        <v>0.67</v>
      </c>
      <c r="F8" s="4" t="s">
        <v>25</v>
      </c>
    </row>
    <row r="9" spans="1:9" x14ac:dyDescent="0.2">
      <c r="A9" s="8">
        <v>0.55523148148148149</v>
      </c>
      <c r="B9" s="6">
        <v>16.07422</v>
      </c>
      <c r="C9" s="4">
        <v>793</v>
      </c>
      <c r="D9" s="4" t="s">
        <v>24</v>
      </c>
      <c r="E9" s="9">
        <v>0.67</v>
      </c>
      <c r="F9" s="4" t="s">
        <v>25</v>
      </c>
    </row>
    <row r="10" spans="1:9" x14ac:dyDescent="0.2">
      <c r="A10" s="8">
        <v>0.55525462962962968</v>
      </c>
      <c r="B10" s="6">
        <v>18.10547</v>
      </c>
      <c r="C10" s="4">
        <v>796</v>
      </c>
      <c r="D10" s="4" t="s">
        <v>24</v>
      </c>
      <c r="E10" s="9">
        <v>0.67</v>
      </c>
      <c r="F10" s="4" t="s">
        <v>25</v>
      </c>
    </row>
    <row r="11" spans="1:9" x14ac:dyDescent="0.2">
      <c r="A11" s="8">
        <v>0.55527777777777776</v>
      </c>
      <c r="B11" s="6">
        <v>20.148440000000001</v>
      </c>
      <c r="C11" s="4">
        <v>795</v>
      </c>
      <c r="D11" s="4" t="s">
        <v>26</v>
      </c>
      <c r="E11" s="4" t="s">
        <v>26</v>
      </c>
      <c r="F11" s="4">
        <v>21</v>
      </c>
    </row>
    <row r="12" spans="1:9" x14ac:dyDescent="0.2">
      <c r="A12" s="8">
        <v>0.55530092592592595</v>
      </c>
      <c r="B12" s="6">
        <v>22.191410000000001</v>
      </c>
      <c r="C12" s="4">
        <v>794</v>
      </c>
      <c r="D12" s="4" t="s">
        <v>24</v>
      </c>
      <c r="E12" s="9">
        <v>0.67</v>
      </c>
      <c r="F12" s="4" t="s">
        <v>25</v>
      </c>
    </row>
    <row r="13" spans="1:9" x14ac:dyDescent="0.2">
      <c r="A13" s="8">
        <v>0.55532407407407403</v>
      </c>
      <c r="B13" s="6">
        <v>24.234380000000002</v>
      </c>
      <c r="C13" s="4">
        <v>797</v>
      </c>
      <c r="D13" s="4" t="s">
        <v>24</v>
      </c>
      <c r="E13" s="9">
        <v>0.67</v>
      </c>
      <c r="F13" s="4" t="s">
        <v>25</v>
      </c>
    </row>
    <row r="14" spans="1:9" x14ac:dyDescent="0.2">
      <c r="A14" s="8">
        <v>0.55534722222222221</v>
      </c>
      <c r="B14" s="6">
        <v>26.28125</v>
      </c>
      <c r="C14" s="4">
        <v>797</v>
      </c>
      <c r="D14" s="4" t="s">
        <v>24</v>
      </c>
      <c r="E14" s="9">
        <v>0.67</v>
      </c>
      <c r="F14" s="4" t="s">
        <v>25</v>
      </c>
    </row>
    <row r="15" spans="1:9" x14ac:dyDescent="0.2">
      <c r="A15" s="8">
        <v>0.5553703703703704</v>
      </c>
      <c r="B15" s="6">
        <v>28.304690000000001</v>
      </c>
      <c r="C15" s="4">
        <v>796</v>
      </c>
      <c r="D15" s="4" t="s">
        <v>24</v>
      </c>
      <c r="E15" s="9">
        <v>0.66</v>
      </c>
      <c r="F15" s="4" t="s">
        <v>25</v>
      </c>
    </row>
    <row r="16" spans="1:9" x14ac:dyDescent="0.2">
      <c r="A16" s="8">
        <v>0.55539351851851848</v>
      </c>
      <c r="B16" s="6">
        <v>30.339839999999999</v>
      </c>
      <c r="C16" s="4">
        <v>795</v>
      </c>
      <c r="D16" s="4" t="s">
        <v>26</v>
      </c>
      <c r="E16" s="4" t="s">
        <v>26</v>
      </c>
      <c r="F16" s="4">
        <v>21</v>
      </c>
    </row>
    <row r="17" spans="1:6" x14ac:dyDescent="0.2">
      <c r="A17" s="8">
        <v>0.55541666666666667</v>
      </c>
      <c r="B17" s="6">
        <v>32.398440000000001</v>
      </c>
      <c r="C17" s="4">
        <v>798</v>
      </c>
      <c r="D17" s="4" t="s">
        <v>24</v>
      </c>
      <c r="E17" s="9">
        <v>0.66</v>
      </c>
      <c r="F17" s="4" t="s">
        <v>25</v>
      </c>
    </row>
    <row r="18" spans="1:6" x14ac:dyDescent="0.2">
      <c r="A18" s="8">
        <v>0.55543981481481486</v>
      </c>
      <c r="B18" s="6">
        <v>34.4375</v>
      </c>
      <c r="C18" s="4">
        <v>796</v>
      </c>
      <c r="D18" s="4" t="s">
        <v>24</v>
      </c>
      <c r="E18" s="9">
        <v>0.66</v>
      </c>
      <c r="F18" s="4" t="s">
        <v>25</v>
      </c>
    </row>
    <row r="19" spans="1:6" x14ac:dyDescent="0.2">
      <c r="A19" s="8">
        <v>0.55546296296296294</v>
      </c>
      <c r="B19" s="6">
        <v>36.472659999999998</v>
      </c>
      <c r="C19" s="4">
        <v>795</v>
      </c>
      <c r="D19" s="4" t="s">
        <v>24</v>
      </c>
      <c r="E19" s="9">
        <v>0.66</v>
      </c>
      <c r="F19" s="4" t="s">
        <v>25</v>
      </c>
    </row>
    <row r="20" spans="1:6" x14ac:dyDescent="0.2">
      <c r="A20" s="8">
        <v>0.55548611111111112</v>
      </c>
      <c r="B20" s="6">
        <v>38.507809999999999</v>
      </c>
      <c r="C20" s="4">
        <v>798</v>
      </c>
      <c r="D20" s="4" t="s">
        <v>24</v>
      </c>
      <c r="E20" s="9">
        <v>0.66</v>
      </c>
      <c r="F20" s="4" t="s">
        <v>25</v>
      </c>
    </row>
    <row r="21" spans="1:6" x14ac:dyDescent="0.2">
      <c r="A21" s="8">
        <v>0.55552083333333335</v>
      </c>
      <c r="B21" s="6">
        <v>40.5625</v>
      </c>
      <c r="C21" s="4">
        <v>796</v>
      </c>
      <c r="D21" s="4" t="s">
        <v>24</v>
      </c>
      <c r="E21" s="9">
        <v>0.66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723E7-8AA8-48B4-A7F6-7CFB24C09AB9}">
  <dimension ref="A1:I21"/>
  <sheetViews>
    <sheetView workbookViewId="0">
      <selection activeCell="H2" sqref="H2"/>
    </sheetView>
  </sheetViews>
  <sheetFormatPr defaultRowHeight="12.75" x14ac:dyDescent="0.2"/>
  <cols>
    <col min="1" max="1" width="10.140625" style="4" customWidth="1"/>
    <col min="2" max="2" width="11.140625" style="6" customWidth="1"/>
    <col min="3" max="6" width="9.140625" style="4"/>
  </cols>
  <sheetData>
    <row r="1" spans="1:9" x14ac:dyDescent="0.2">
      <c r="A1" s="5" t="s">
        <v>27</v>
      </c>
      <c r="B1" s="7" t="s">
        <v>28</v>
      </c>
      <c r="C1" s="5" t="s">
        <v>17</v>
      </c>
      <c r="D1" s="5" t="s">
        <v>29</v>
      </c>
      <c r="E1" s="5" t="s">
        <v>30</v>
      </c>
      <c r="F1" s="5" t="s">
        <v>31</v>
      </c>
    </row>
    <row r="2" spans="1:9" x14ac:dyDescent="0.2">
      <c r="A2" s="8"/>
      <c r="C2" s="10"/>
      <c r="D2" s="10"/>
      <c r="E2" s="9"/>
      <c r="F2" s="10"/>
      <c r="H2">
        <f>AVERAGE(C4:C21)</f>
        <v>848.44444444444446</v>
      </c>
      <c r="I2">
        <f>91*(1023-H2)/H2</f>
        <v>18.721974855945518</v>
      </c>
    </row>
    <row r="3" spans="1:9" x14ac:dyDescent="0.2">
      <c r="A3" s="8"/>
      <c r="C3" s="10"/>
      <c r="D3" s="10"/>
      <c r="E3" s="9"/>
      <c r="F3" s="10"/>
    </row>
    <row r="4" spans="1:9" x14ac:dyDescent="0.2">
      <c r="A4" s="8">
        <v>0.57269675925925922</v>
      </c>
      <c r="B4" s="6">
        <v>5.8671879999999996</v>
      </c>
      <c r="C4" s="10">
        <v>850</v>
      </c>
      <c r="D4" s="10" t="s">
        <v>24</v>
      </c>
      <c r="E4" s="9">
        <v>0.67</v>
      </c>
      <c r="F4" s="10" t="s">
        <v>25</v>
      </c>
    </row>
    <row r="5" spans="1:9" x14ac:dyDescent="0.2">
      <c r="A5" s="8">
        <v>0.57271990740740741</v>
      </c>
      <c r="B5" s="6">
        <v>7.9023440000000003</v>
      </c>
      <c r="C5" s="10">
        <v>849</v>
      </c>
      <c r="D5" s="10" t="s">
        <v>26</v>
      </c>
      <c r="E5" s="10" t="s">
        <v>26</v>
      </c>
      <c r="F5" s="10">
        <v>21</v>
      </c>
    </row>
    <row r="6" spans="1:9" x14ac:dyDescent="0.2">
      <c r="A6" s="8">
        <v>0.5727430555555556</v>
      </c>
      <c r="B6" s="6">
        <v>9.9335939999999994</v>
      </c>
      <c r="C6" s="10">
        <v>850</v>
      </c>
      <c r="D6" s="10" t="s">
        <v>26</v>
      </c>
      <c r="E6" s="10" t="s">
        <v>26</v>
      </c>
      <c r="F6" s="10">
        <v>21</v>
      </c>
    </row>
    <row r="7" spans="1:9" x14ac:dyDescent="0.2">
      <c r="A7" s="8">
        <v>0.57276620370370368</v>
      </c>
      <c r="B7" s="6">
        <v>11.98047</v>
      </c>
      <c r="C7" s="10">
        <v>848</v>
      </c>
      <c r="D7" s="10" t="s">
        <v>24</v>
      </c>
      <c r="E7" s="9">
        <v>0.68</v>
      </c>
      <c r="F7" s="10" t="s">
        <v>25</v>
      </c>
    </row>
    <row r="8" spans="1:9" x14ac:dyDescent="0.2">
      <c r="A8" s="8">
        <v>0.57278935185185187</v>
      </c>
      <c r="B8" s="6">
        <v>14.027340000000001</v>
      </c>
      <c r="C8" s="10">
        <v>848</v>
      </c>
      <c r="D8" s="10" t="s">
        <v>24</v>
      </c>
      <c r="E8" s="9">
        <v>0.67</v>
      </c>
      <c r="F8" s="10" t="s">
        <v>25</v>
      </c>
    </row>
    <row r="9" spans="1:9" x14ac:dyDescent="0.2">
      <c r="A9" s="8">
        <v>0.57281249999999995</v>
      </c>
      <c r="B9" s="6">
        <v>16.058589999999999</v>
      </c>
      <c r="C9" s="10">
        <v>849</v>
      </c>
      <c r="D9" s="10" t="s">
        <v>24</v>
      </c>
      <c r="E9" s="9">
        <v>0.67</v>
      </c>
      <c r="F9" s="10" t="s">
        <v>25</v>
      </c>
    </row>
    <row r="10" spans="1:9" x14ac:dyDescent="0.2">
      <c r="A10" s="8">
        <v>0.57283564814814814</v>
      </c>
      <c r="B10" s="6">
        <v>18.11328</v>
      </c>
      <c r="C10" s="10">
        <v>848</v>
      </c>
      <c r="D10" s="10" t="s">
        <v>24</v>
      </c>
      <c r="E10" s="9">
        <v>0.67</v>
      </c>
      <c r="F10" s="10" t="s">
        <v>25</v>
      </c>
    </row>
    <row r="11" spans="1:9" x14ac:dyDescent="0.2">
      <c r="A11" s="8">
        <v>0.57285879629629632</v>
      </c>
      <c r="B11" s="6">
        <v>20.148440000000001</v>
      </c>
      <c r="C11" s="10">
        <v>848</v>
      </c>
      <c r="D11" s="10" t="s">
        <v>24</v>
      </c>
      <c r="E11" s="9">
        <v>0.67</v>
      </c>
      <c r="F11" s="10" t="s">
        <v>25</v>
      </c>
    </row>
    <row r="12" spans="1:9" x14ac:dyDescent="0.2">
      <c r="A12" s="8">
        <v>0.5728819444444444</v>
      </c>
      <c r="B12" s="6">
        <v>22.195309999999999</v>
      </c>
      <c r="C12" s="10">
        <v>847</v>
      </c>
      <c r="D12" s="10" t="s">
        <v>24</v>
      </c>
      <c r="E12" s="9">
        <v>0.67</v>
      </c>
      <c r="F12" s="10" t="s">
        <v>25</v>
      </c>
    </row>
    <row r="13" spans="1:9" x14ac:dyDescent="0.2">
      <c r="A13" s="8">
        <v>0.57290509259259259</v>
      </c>
      <c r="B13" s="6">
        <v>24.222660000000001</v>
      </c>
      <c r="C13" s="4">
        <v>848</v>
      </c>
      <c r="D13" s="4" t="s">
        <v>24</v>
      </c>
      <c r="E13" s="9">
        <v>0.67</v>
      </c>
      <c r="F13" s="4" t="s">
        <v>25</v>
      </c>
    </row>
    <row r="14" spans="1:9" x14ac:dyDescent="0.2">
      <c r="A14" s="8">
        <v>0.57292824074074078</v>
      </c>
      <c r="B14" s="6">
        <v>26.273440000000001</v>
      </c>
      <c r="C14" s="4">
        <v>848</v>
      </c>
      <c r="D14" s="4" t="s">
        <v>24</v>
      </c>
      <c r="E14" s="9">
        <v>0.67</v>
      </c>
      <c r="F14" s="4" t="s">
        <v>25</v>
      </c>
    </row>
    <row r="15" spans="1:9" x14ac:dyDescent="0.2">
      <c r="A15" s="8">
        <v>0.57295138888888886</v>
      </c>
      <c r="B15" s="6">
        <v>28.304690000000001</v>
      </c>
      <c r="C15" s="4">
        <v>849</v>
      </c>
      <c r="D15" s="4" t="s">
        <v>26</v>
      </c>
      <c r="E15" s="4" t="s">
        <v>26</v>
      </c>
      <c r="F15" s="4">
        <v>21</v>
      </c>
    </row>
    <row r="16" spans="1:9" x14ac:dyDescent="0.2">
      <c r="A16" s="8">
        <v>0.57297453703703705</v>
      </c>
      <c r="B16" s="6">
        <v>30.351559999999999</v>
      </c>
      <c r="C16" s="4">
        <v>849</v>
      </c>
      <c r="D16" s="4" t="s">
        <v>24</v>
      </c>
      <c r="E16" s="9">
        <v>0.67</v>
      </c>
      <c r="F16" s="4" t="s">
        <v>25</v>
      </c>
    </row>
    <row r="17" spans="1:6" x14ac:dyDescent="0.2">
      <c r="A17" s="8">
        <v>0.57299768518518523</v>
      </c>
      <c r="B17" s="6">
        <v>32.382809999999999</v>
      </c>
      <c r="C17" s="4">
        <v>849</v>
      </c>
      <c r="D17" s="4" t="s">
        <v>26</v>
      </c>
      <c r="E17" s="4" t="s">
        <v>26</v>
      </c>
      <c r="F17" s="4">
        <v>21</v>
      </c>
    </row>
    <row r="18" spans="1:6" x14ac:dyDescent="0.2">
      <c r="A18" s="8">
        <v>0.57303240740740746</v>
      </c>
      <c r="B18" s="6">
        <v>34.429690000000001</v>
      </c>
      <c r="C18" s="4">
        <v>846</v>
      </c>
      <c r="D18" s="4" t="s">
        <v>24</v>
      </c>
      <c r="E18" s="9">
        <v>0.67</v>
      </c>
      <c r="F18" s="4" t="s">
        <v>25</v>
      </c>
    </row>
    <row r="19" spans="1:6" x14ac:dyDescent="0.2">
      <c r="A19" s="8">
        <v>0.57305555555555554</v>
      </c>
      <c r="B19" s="6">
        <v>36.476559999999999</v>
      </c>
      <c r="C19" s="4">
        <v>847</v>
      </c>
      <c r="D19" s="4" t="s">
        <v>24</v>
      </c>
      <c r="E19" s="9">
        <v>0.67</v>
      </c>
      <c r="F19" s="4" t="s">
        <v>25</v>
      </c>
    </row>
    <row r="20" spans="1:6" x14ac:dyDescent="0.2">
      <c r="A20" s="8">
        <v>0.57307870370370373</v>
      </c>
      <c r="B20" s="6">
        <v>38.523440000000001</v>
      </c>
      <c r="C20" s="4">
        <v>849</v>
      </c>
      <c r="D20" s="4" t="s">
        <v>24</v>
      </c>
      <c r="E20" s="9">
        <v>0.67</v>
      </c>
      <c r="F20" s="4" t="s">
        <v>25</v>
      </c>
    </row>
    <row r="21" spans="1:6" x14ac:dyDescent="0.2">
      <c r="A21" s="8">
        <v>0.57310185185185181</v>
      </c>
      <c r="B21" s="6">
        <v>40.554690000000001</v>
      </c>
      <c r="C21" s="4">
        <v>850</v>
      </c>
      <c r="D21" s="4" t="s">
        <v>24</v>
      </c>
      <c r="E21" s="9">
        <v>0.67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57D0E-1597-48BB-8F00-1E9DF1758124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0.57572916666666663</v>
      </c>
      <c r="B2" s="6">
        <v>1.8125</v>
      </c>
      <c r="C2" s="4">
        <v>812</v>
      </c>
      <c r="D2" s="4" t="s">
        <v>24</v>
      </c>
      <c r="E2" s="9">
        <v>0.67</v>
      </c>
      <c r="F2" s="4" t="s">
        <v>25</v>
      </c>
      <c r="H2">
        <f>AVERAGE(C2:C21)</f>
        <v>814.45</v>
      </c>
      <c r="I2">
        <f>91*(1023-H2)/H2</f>
        <v>23.301675977653623</v>
      </c>
    </row>
    <row r="3" spans="1:9" x14ac:dyDescent="0.2">
      <c r="A3" s="8">
        <v>0.57575231481481481</v>
      </c>
      <c r="B3" s="6">
        <v>3.8203130000000001</v>
      </c>
      <c r="C3" s="4">
        <v>811</v>
      </c>
      <c r="D3" s="4" t="s">
        <v>24</v>
      </c>
      <c r="E3" s="9">
        <v>0.67</v>
      </c>
      <c r="F3" s="4" t="s">
        <v>25</v>
      </c>
    </row>
    <row r="4" spans="1:9" x14ac:dyDescent="0.2">
      <c r="A4" s="8">
        <v>0.575775462962963</v>
      </c>
      <c r="B4" s="6">
        <v>5.8671879999999996</v>
      </c>
      <c r="C4" s="4">
        <v>814</v>
      </c>
      <c r="D4" s="4" t="s">
        <v>24</v>
      </c>
      <c r="E4" s="9">
        <v>0.67</v>
      </c>
      <c r="F4" s="4" t="s">
        <v>25</v>
      </c>
    </row>
    <row r="5" spans="1:9" x14ac:dyDescent="0.2">
      <c r="A5" s="8">
        <v>0.57579861111111108</v>
      </c>
      <c r="B5" s="6">
        <v>7.9023440000000003</v>
      </c>
      <c r="C5" s="4">
        <v>816</v>
      </c>
      <c r="D5" s="4" t="s">
        <v>24</v>
      </c>
      <c r="E5" s="9">
        <v>0.67</v>
      </c>
      <c r="F5" s="4" t="s">
        <v>25</v>
      </c>
    </row>
    <row r="6" spans="1:9" x14ac:dyDescent="0.2">
      <c r="A6" s="8">
        <v>0.57582175925925927</v>
      </c>
      <c r="B6" s="6">
        <v>9.953125</v>
      </c>
      <c r="C6" s="4">
        <v>813</v>
      </c>
      <c r="D6" s="4" t="s">
        <v>24</v>
      </c>
      <c r="E6" s="9">
        <v>0.67</v>
      </c>
      <c r="F6" s="4" t="s">
        <v>25</v>
      </c>
    </row>
    <row r="7" spans="1:9" x14ac:dyDescent="0.2">
      <c r="A7" s="8">
        <v>0.57584490740740746</v>
      </c>
      <c r="B7" s="6">
        <v>11.98438</v>
      </c>
      <c r="C7" s="4">
        <v>813</v>
      </c>
      <c r="D7" s="4" t="s">
        <v>24</v>
      </c>
      <c r="E7" s="9">
        <v>0.67</v>
      </c>
      <c r="F7" s="4" t="s">
        <v>25</v>
      </c>
    </row>
    <row r="8" spans="1:9" x14ac:dyDescent="0.2">
      <c r="A8" s="8">
        <v>0.57586805555555554</v>
      </c>
      <c r="B8" s="6">
        <v>14.035159999999999</v>
      </c>
      <c r="C8" s="4">
        <v>813</v>
      </c>
      <c r="D8" s="4" t="s">
        <v>24</v>
      </c>
      <c r="E8" s="9">
        <v>0.67</v>
      </c>
      <c r="F8" s="4" t="s">
        <v>25</v>
      </c>
    </row>
    <row r="9" spans="1:9" x14ac:dyDescent="0.2">
      <c r="A9" s="8">
        <v>0.57589120370370372</v>
      </c>
      <c r="B9" s="6">
        <v>16.066410000000001</v>
      </c>
      <c r="C9" s="4">
        <v>815</v>
      </c>
      <c r="D9" s="4" t="s">
        <v>24</v>
      </c>
      <c r="E9" s="9">
        <v>0.67</v>
      </c>
      <c r="F9" s="4" t="s">
        <v>25</v>
      </c>
    </row>
    <row r="10" spans="1:9" x14ac:dyDescent="0.2">
      <c r="A10" s="8">
        <v>0.5759143518518518</v>
      </c>
      <c r="B10" s="6">
        <v>18.117190000000001</v>
      </c>
      <c r="C10" s="4">
        <v>817</v>
      </c>
      <c r="D10" s="4" t="s">
        <v>24</v>
      </c>
      <c r="E10" s="9">
        <v>0.67</v>
      </c>
      <c r="F10" s="4" t="s">
        <v>25</v>
      </c>
    </row>
    <row r="11" spans="1:9" x14ac:dyDescent="0.2">
      <c r="A11" s="8">
        <v>0.57593749999999999</v>
      </c>
      <c r="B11" s="6">
        <v>20.148440000000001</v>
      </c>
      <c r="C11" s="4">
        <v>812</v>
      </c>
      <c r="D11" s="4" t="s">
        <v>24</v>
      </c>
      <c r="E11" s="9">
        <v>0.67</v>
      </c>
      <c r="F11" s="4" t="s">
        <v>25</v>
      </c>
    </row>
    <row r="12" spans="1:9" x14ac:dyDescent="0.2">
      <c r="A12" s="8">
        <v>0.57596064814814818</v>
      </c>
      <c r="B12" s="6">
        <v>22.183589999999999</v>
      </c>
      <c r="C12" s="4">
        <v>815</v>
      </c>
      <c r="D12" s="4" t="s">
        <v>26</v>
      </c>
      <c r="E12" s="4" t="s">
        <v>26</v>
      </c>
      <c r="F12" s="4">
        <v>21</v>
      </c>
    </row>
    <row r="13" spans="1:9" x14ac:dyDescent="0.2">
      <c r="A13" s="8">
        <v>0.57598379629629626</v>
      </c>
      <c r="B13" s="6">
        <v>24.234380000000002</v>
      </c>
      <c r="C13" s="4">
        <v>812</v>
      </c>
      <c r="D13" s="4" t="s">
        <v>24</v>
      </c>
      <c r="E13" s="9">
        <v>0.67</v>
      </c>
      <c r="F13" s="4" t="s">
        <v>25</v>
      </c>
    </row>
    <row r="14" spans="1:9" x14ac:dyDescent="0.2">
      <c r="A14" s="8">
        <v>0.57600694444444445</v>
      </c>
      <c r="B14" s="6">
        <v>26.26953</v>
      </c>
      <c r="C14" s="4">
        <v>814</v>
      </c>
      <c r="D14" s="4" t="s">
        <v>24</v>
      </c>
      <c r="E14" s="9">
        <v>0.67</v>
      </c>
      <c r="F14" s="4" t="s">
        <v>25</v>
      </c>
    </row>
    <row r="15" spans="1:9" x14ac:dyDescent="0.2">
      <c r="A15" s="8">
        <v>0.57603009259259264</v>
      </c>
      <c r="B15" s="6">
        <v>28.316410000000001</v>
      </c>
      <c r="C15" s="4">
        <v>816</v>
      </c>
      <c r="D15" s="4" t="s">
        <v>26</v>
      </c>
      <c r="E15" s="4" t="s">
        <v>26</v>
      </c>
      <c r="F15" s="4">
        <v>21</v>
      </c>
    </row>
    <row r="16" spans="1:9" x14ac:dyDescent="0.2">
      <c r="A16" s="8">
        <v>0.57605324074074071</v>
      </c>
      <c r="B16" s="6">
        <v>30.351559999999999</v>
      </c>
      <c r="C16" s="4">
        <v>816</v>
      </c>
      <c r="D16" s="4" t="s">
        <v>24</v>
      </c>
      <c r="E16" s="9">
        <v>0.67</v>
      </c>
      <c r="F16" s="4" t="s">
        <v>25</v>
      </c>
    </row>
    <row r="17" spans="1:6" x14ac:dyDescent="0.2">
      <c r="A17" s="8">
        <v>0.5760763888888889</v>
      </c>
      <c r="B17" s="6">
        <v>32.398440000000001</v>
      </c>
      <c r="C17" s="4">
        <v>815</v>
      </c>
      <c r="D17" s="4" t="s">
        <v>24</v>
      </c>
      <c r="E17" s="9">
        <v>0.67</v>
      </c>
      <c r="F17" s="4" t="s">
        <v>25</v>
      </c>
    </row>
    <row r="18" spans="1:6" x14ac:dyDescent="0.2">
      <c r="A18" s="8">
        <v>0.57611111111111113</v>
      </c>
      <c r="B18" s="6">
        <v>34.425780000000003</v>
      </c>
      <c r="C18" s="4">
        <v>817</v>
      </c>
      <c r="D18" s="4" t="s">
        <v>26</v>
      </c>
      <c r="E18" s="4" t="s">
        <v>26</v>
      </c>
      <c r="F18" s="4">
        <v>21</v>
      </c>
    </row>
    <row r="19" spans="1:6" x14ac:dyDescent="0.2">
      <c r="A19" s="8">
        <v>0.57613425925925921</v>
      </c>
      <c r="B19" s="6">
        <v>36.472659999999998</v>
      </c>
      <c r="C19" s="4">
        <v>816</v>
      </c>
      <c r="D19" s="4" t="s">
        <v>24</v>
      </c>
      <c r="E19" s="9">
        <v>0.67</v>
      </c>
      <c r="F19" s="4" t="s">
        <v>25</v>
      </c>
    </row>
    <row r="20" spans="1:6" x14ac:dyDescent="0.2">
      <c r="A20" s="8">
        <v>0.5761574074074074</v>
      </c>
      <c r="B20" s="6">
        <v>38.523440000000001</v>
      </c>
      <c r="C20" s="4">
        <v>817</v>
      </c>
      <c r="D20" s="4" t="s">
        <v>24</v>
      </c>
      <c r="E20" s="9">
        <v>0.67</v>
      </c>
      <c r="F20" s="4" t="s">
        <v>25</v>
      </c>
    </row>
    <row r="21" spans="1:6" x14ac:dyDescent="0.2">
      <c r="A21" s="8">
        <v>0.57618055555555558</v>
      </c>
      <c r="B21" s="6">
        <v>40.554690000000001</v>
      </c>
      <c r="C21" s="4">
        <v>815</v>
      </c>
      <c r="D21" s="4" t="s">
        <v>24</v>
      </c>
      <c r="E21" s="9">
        <v>0.67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37CA1-DBC8-4E80-B869-2AF14FF18A0F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0.57775462962962965</v>
      </c>
      <c r="B2" s="6">
        <v>1.785156</v>
      </c>
      <c r="C2" s="4">
        <v>812</v>
      </c>
      <c r="D2" s="4" t="s">
        <v>26</v>
      </c>
      <c r="E2" s="4" t="s">
        <v>26</v>
      </c>
      <c r="F2" s="4">
        <v>21</v>
      </c>
      <c r="H2">
        <f>AVERAGE(C2:C21)</f>
        <v>814.25</v>
      </c>
      <c r="I2">
        <f>91*(1023-H2)/H2</f>
        <v>23.329751304881793</v>
      </c>
    </row>
    <row r="3" spans="1:9" x14ac:dyDescent="0.2">
      <c r="A3" s="8">
        <v>0.57777777777777772</v>
      </c>
      <c r="B3" s="6">
        <v>3.8046880000000001</v>
      </c>
      <c r="C3" s="4">
        <v>812</v>
      </c>
      <c r="D3" s="4" t="s">
        <v>24</v>
      </c>
      <c r="E3" s="9">
        <v>0.67</v>
      </c>
      <c r="F3" s="4" t="s">
        <v>25</v>
      </c>
    </row>
    <row r="4" spans="1:9" x14ac:dyDescent="0.2">
      <c r="A4" s="8">
        <v>0.57780092592592591</v>
      </c>
      <c r="B4" s="6">
        <v>5.8554690000000003</v>
      </c>
      <c r="C4" s="4">
        <v>812</v>
      </c>
      <c r="D4" s="4" t="s">
        <v>24</v>
      </c>
      <c r="E4" s="9">
        <v>0.67</v>
      </c>
      <c r="F4" s="4" t="s">
        <v>25</v>
      </c>
    </row>
    <row r="5" spans="1:9" x14ac:dyDescent="0.2">
      <c r="A5" s="8">
        <v>0.5778240740740741</v>
      </c>
      <c r="B5" s="6">
        <v>7.890625</v>
      </c>
      <c r="C5" s="4">
        <v>812</v>
      </c>
      <c r="D5" s="4" t="s">
        <v>24</v>
      </c>
      <c r="E5" s="9">
        <v>0.67</v>
      </c>
      <c r="F5" s="4" t="s">
        <v>25</v>
      </c>
    </row>
    <row r="6" spans="1:9" x14ac:dyDescent="0.2">
      <c r="A6" s="8">
        <v>0.57784722222222218</v>
      </c>
      <c r="B6" s="6">
        <v>9.921875</v>
      </c>
      <c r="C6" s="4">
        <v>814</v>
      </c>
      <c r="D6" s="4" t="s">
        <v>26</v>
      </c>
      <c r="E6" s="4" t="s">
        <v>26</v>
      </c>
      <c r="F6" s="4">
        <v>21</v>
      </c>
    </row>
    <row r="7" spans="1:9" x14ac:dyDescent="0.2">
      <c r="A7" s="8">
        <v>0.57787037037037037</v>
      </c>
      <c r="B7" s="6">
        <v>11.976559999999999</v>
      </c>
      <c r="C7" s="4">
        <v>813</v>
      </c>
      <c r="D7" s="4" t="s">
        <v>26</v>
      </c>
      <c r="E7" s="4" t="s">
        <v>26</v>
      </c>
      <c r="F7" s="4">
        <v>21</v>
      </c>
    </row>
    <row r="8" spans="1:9" x14ac:dyDescent="0.2">
      <c r="A8" s="8">
        <v>0.57789351851851856</v>
      </c>
      <c r="B8" s="6">
        <v>14.01172</v>
      </c>
      <c r="C8" s="4">
        <v>813</v>
      </c>
      <c r="D8" s="4" t="s">
        <v>24</v>
      </c>
      <c r="E8" s="9">
        <v>0.67</v>
      </c>
      <c r="F8" s="4" t="s">
        <v>25</v>
      </c>
    </row>
    <row r="9" spans="1:9" x14ac:dyDescent="0.2">
      <c r="A9" s="8">
        <v>0.57791666666666663</v>
      </c>
      <c r="B9" s="6">
        <v>16.0625</v>
      </c>
      <c r="C9" s="4">
        <v>814</v>
      </c>
      <c r="D9" s="4" t="s">
        <v>24</v>
      </c>
      <c r="E9" s="9">
        <v>0.67</v>
      </c>
      <c r="F9" s="4" t="s">
        <v>25</v>
      </c>
    </row>
    <row r="10" spans="1:9" x14ac:dyDescent="0.2">
      <c r="A10" s="8">
        <v>0.57793981481481482</v>
      </c>
      <c r="B10" s="6">
        <v>18.09375</v>
      </c>
      <c r="C10" s="4">
        <v>814</v>
      </c>
      <c r="D10" s="4" t="s">
        <v>24</v>
      </c>
      <c r="E10" s="9">
        <v>0.67</v>
      </c>
      <c r="F10" s="4" t="s">
        <v>25</v>
      </c>
    </row>
    <row r="11" spans="1:9" x14ac:dyDescent="0.2">
      <c r="A11" s="8">
        <v>0.57796296296296301</v>
      </c>
      <c r="B11" s="6">
        <v>20.140630000000002</v>
      </c>
      <c r="C11" s="4">
        <v>815</v>
      </c>
      <c r="D11" s="4" t="s">
        <v>24</v>
      </c>
      <c r="E11" s="9">
        <v>0.67</v>
      </c>
      <c r="F11" s="4" t="s">
        <v>25</v>
      </c>
    </row>
    <row r="12" spans="1:9" x14ac:dyDescent="0.2">
      <c r="A12" s="8">
        <v>0.57798611111111109</v>
      </c>
      <c r="B12" s="6">
        <v>22.183589999999999</v>
      </c>
      <c r="C12" s="4">
        <v>813</v>
      </c>
      <c r="D12" s="4" t="s">
        <v>24</v>
      </c>
      <c r="E12" s="9">
        <v>0.66</v>
      </c>
      <c r="F12" s="4" t="s">
        <v>25</v>
      </c>
    </row>
    <row r="13" spans="1:9" x14ac:dyDescent="0.2">
      <c r="A13" s="8">
        <v>0.57800925925925928</v>
      </c>
      <c r="B13" s="6">
        <v>24.21875</v>
      </c>
      <c r="C13" s="4">
        <v>816</v>
      </c>
      <c r="D13" s="4" t="s">
        <v>24</v>
      </c>
      <c r="E13" s="9">
        <v>0.66</v>
      </c>
      <c r="F13" s="4" t="s">
        <v>25</v>
      </c>
    </row>
    <row r="14" spans="1:9" x14ac:dyDescent="0.2">
      <c r="A14" s="8">
        <v>0.57803240740740736</v>
      </c>
      <c r="B14" s="6">
        <v>26.26953</v>
      </c>
      <c r="C14" s="4">
        <v>815</v>
      </c>
      <c r="D14" s="4" t="s">
        <v>24</v>
      </c>
      <c r="E14" s="9">
        <v>0.66</v>
      </c>
      <c r="F14" s="4" t="s">
        <v>25</v>
      </c>
    </row>
    <row r="15" spans="1:9" x14ac:dyDescent="0.2">
      <c r="A15" s="8">
        <v>0.57805555555555554</v>
      </c>
      <c r="B15" s="6">
        <v>28.30078</v>
      </c>
      <c r="C15" s="4">
        <v>817</v>
      </c>
      <c r="D15" s="4" t="s">
        <v>24</v>
      </c>
      <c r="E15" s="9">
        <v>0.66</v>
      </c>
      <c r="F15" s="4" t="s">
        <v>25</v>
      </c>
    </row>
    <row r="16" spans="1:9" x14ac:dyDescent="0.2">
      <c r="A16" s="8">
        <v>0.57807870370370373</v>
      </c>
      <c r="B16" s="6">
        <v>30.347660000000001</v>
      </c>
      <c r="C16" s="4">
        <v>814</v>
      </c>
      <c r="D16" s="4" t="s">
        <v>24</v>
      </c>
      <c r="E16" s="9">
        <v>0.66</v>
      </c>
      <c r="F16" s="4" t="s">
        <v>25</v>
      </c>
    </row>
    <row r="17" spans="1:6" x14ac:dyDescent="0.2">
      <c r="A17" s="8">
        <v>0.57811342592592596</v>
      </c>
      <c r="B17" s="6">
        <v>32.382809999999999</v>
      </c>
      <c r="C17" s="4">
        <v>815</v>
      </c>
      <c r="D17" s="4" t="s">
        <v>24</v>
      </c>
      <c r="E17" s="9">
        <v>0.66</v>
      </c>
      <c r="F17" s="4" t="s">
        <v>25</v>
      </c>
    </row>
    <row r="18" spans="1:6" x14ac:dyDescent="0.2">
      <c r="A18" s="8">
        <v>0.57813657407407404</v>
      </c>
      <c r="B18" s="6">
        <v>34.417969999999997</v>
      </c>
      <c r="C18" s="4">
        <v>816</v>
      </c>
      <c r="D18" s="4" t="s">
        <v>24</v>
      </c>
      <c r="E18" s="9">
        <v>0.66</v>
      </c>
      <c r="F18" s="4" t="s">
        <v>25</v>
      </c>
    </row>
    <row r="19" spans="1:6" x14ac:dyDescent="0.2">
      <c r="A19" s="8">
        <v>0.57815972222222223</v>
      </c>
      <c r="B19" s="6">
        <v>36.460940000000001</v>
      </c>
      <c r="C19" s="4">
        <v>816</v>
      </c>
      <c r="D19" s="4" t="s">
        <v>24</v>
      </c>
      <c r="E19" s="9">
        <v>0.66</v>
      </c>
      <c r="F19" s="4" t="s">
        <v>25</v>
      </c>
    </row>
    <row r="20" spans="1:6" x14ac:dyDescent="0.2">
      <c r="A20" s="8">
        <v>0.57818287037037042</v>
      </c>
      <c r="B20" s="6">
        <v>38.511719999999997</v>
      </c>
      <c r="C20" s="4">
        <v>816</v>
      </c>
      <c r="D20" s="4" t="s">
        <v>24</v>
      </c>
      <c r="E20" s="9">
        <v>0.66</v>
      </c>
      <c r="F20" s="4" t="s">
        <v>25</v>
      </c>
    </row>
    <row r="21" spans="1:6" x14ac:dyDescent="0.2">
      <c r="A21" s="8">
        <v>0.57820601851851849</v>
      </c>
      <c r="B21" s="6">
        <v>40.558590000000002</v>
      </c>
      <c r="C21" s="4">
        <v>816</v>
      </c>
      <c r="D21" s="4" t="s">
        <v>24</v>
      </c>
      <c r="E21" s="9">
        <v>0.66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9DDA-F953-4B20-AA04-DA13C900D89F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0.57915509259259257</v>
      </c>
      <c r="B2" s="6">
        <v>1.796875</v>
      </c>
      <c r="C2" s="4">
        <v>782</v>
      </c>
      <c r="D2" s="4" t="s">
        <v>24</v>
      </c>
      <c r="E2" s="9">
        <v>0.66</v>
      </c>
      <c r="F2" s="4" t="s">
        <v>25</v>
      </c>
      <c r="H2">
        <f>AVERAGE(C2:C21)</f>
        <v>787.4</v>
      </c>
      <c r="I2">
        <f>91*(1023-H2)/H2</f>
        <v>27.228346456692918</v>
      </c>
    </row>
    <row r="3" spans="1:9" x14ac:dyDescent="0.2">
      <c r="A3" s="8">
        <v>0.57917824074074076</v>
      </c>
      <c r="B3" s="6">
        <v>3.8203130000000001</v>
      </c>
      <c r="C3" s="4">
        <v>783</v>
      </c>
      <c r="D3" s="4" t="s">
        <v>24</v>
      </c>
      <c r="E3" s="9">
        <v>0.66</v>
      </c>
      <c r="F3" s="4" t="s">
        <v>25</v>
      </c>
    </row>
    <row r="4" spans="1:9" x14ac:dyDescent="0.2">
      <c r="A4" s="8">
        <v>0.57920138888888884</v>
      </c>
      <c r="B4" s="6">
        <v>5.8710940000000003</v>
      </c>
      <c r="C4" s="4">
        <v>785</v>
      </c>
      <c r="D4" s="4" t="s">
        <v>24</v>
      </c>
      <c r="E4" s="9">
        <v>0.65</v>
      </c>
      <c r="F4" s="4" t="s">
        <v>25</v>
      </c>
    </row>
    <row r="5" spans="1:9" x14ac:dyDescent="0.2">
      <c r="A5" s="8">
        <v>0.57923611111111106</v>
      </c>
      <c r="B5" s="6">
        <v>7.90625</v>
      </c>
      <c r="C5" s="4">
        <v>784</v>
      </c>
      <c r="D5" s="4" t="s">
        <v>24</v>
      </c>
      <c r="E5" s="9">
        <v>0.65</v>
      </c>
      <c r="F5" s="4" t="s">
        <v>25</v>
      </c>
    </row>
    <row r="6" spans="1:9" x14ac:dyDescent="0.2">
      <c r="A6" s="8">
        <v>0.57925925925925925</v>
      </c>
      <c r="B6" s="6">
        <v>9.9414060000000006</v>
      </c>
      <c r="C6" s="4">
        <v>784</v>
      </c>
      <c r="D6" s="4" t="s">
        <v>24</v>
      </c>
      <c r="E6" s="9">
        <v>0.65</v>
      </c>
      <c r="F6" s="4" t="s">
        <v>25</v>
      </c>
    </row>
    <row r="7" spans="1:9" x14ac:dyDescent="0.2">
      <c r="A7" s="8">
        <v>0.57928240740740744</v>
      </c>
      <c r="B7" s="6">
        <v>11.98828</v>
      </c>
      <c r="C7" s="4">
        <v>786</v>
      </c>
      <c r="D7" s="4" t="s">
        <v>24</v>
      </c>
      <c r="E7" s="9">
        <v>0.65</v>
      </c>
      <c r="F7" s="4" t="s">
        <v>25</v>
      </c>
    </row>
    <row r="8" spans="1:9" x14ac:dyDescent="0.2">
      <c r="A8" s="8">
        <v>0.57930555555555552</v>
      </c>
      <c r="B8" s="6">
        <v>14.023440000000001</v>
      </c>
      <c r="C8" s="4">
        <v>784</v>
      </c>
      <c r="D8" s="4" t="s">
        <v>24</v>
      </c>
      <c r="E8" s="9">
        <v>0.65</v>
      </c>
      <c r="F8" s="4" t="s">
        <v>25</v>
      </c>
    </row>
    <row r="9" spans="1:9" x14ac:dyDescent="0.2">
      <c r="A9" s="8">
        <v>0.57932870370370371</v>
      </c>
      <c r="B9" s="6">
        <v>16.070309999999999</v>
      </c>
      <c r="C9" s="4">
        <v>785</v>
      </c>
      <c r="D9" s="4" t="s">
        <v>24</v>
      </c>
      <c r="E9" s="9">
        <v>0.65</v>
      </c>
      <c r="F9" s="4" t="s">
        <v>25</v>
      </c>
    </row>
    <row r="10" spans="1:9" x14ac:dyDescent="0.2">
      <c r="A10" s="8">
        <v>0.5793518518518519</v>
      </c>
      <c r="B10" s="6">
        <v>18.117190000000001</v>
      </c>
      <c r="C10" s="4">
        <v>787</v>
      </c>
      <c r="D10" s="4" t="s">
        <v>24</v>
      </c>
      <c r="E10" s="9">
        <v>0.65</v>
      </c>
      <c r="F10" s="4" t="s">
        <v>25</v>
      </c>
    </row>
    <row r="11" spans="1:9" x14ac:dyDescent="0.2">
      <c r="A11" s="8">
        <v>0.57937499999999997</v>
      </c>
      <c r="B11" s="6">
        <v>20.152339999999999</v>
      </c>
      <c r="C11" s="4">
        <v>788</v>
      </c>
      <c r="D11" s="4" t="s">
        <v>24</v>
      </c>
      <c r="E11" s="9">
        <v>0.65</v>
      </c>
      <c r="F11" s="4" t="s">
        <v>25</v>
      </c>
    </row>
    <row r="12" spans="1:9" x14ac:dyDescent="0.2">
      <c r="A12" s="8">
        <v>0.57939814814814816</v>
      </c>
      <c r="B12" s="6">
        <v>22.19922</v>
      </c>
      <c r="C12" s="4">
        <v>788</v>
      </c>
      <c r="D12" s="4" t="s">
        <v>24</v>
      </c>
      <c r="E12" s="9">
        <v>0.65</v>
      </c>
      <c r="F12" s="4" t="s">
        <v>25</v>
      </c>
    </row>
    <row r="13" spans="1:9" x14ac:dyDescent="0.2">
      <c r="A13" s="8">
        <v>0.57942129629629635</v>
      </c>
      <c r="B13" s="6">
        <v>24.73047</v>
      </c>
      <c r="C13" s="4">
        <v>790</v>
      </c>
      <c r="D13" s="4" t="s">
        <v>26</v>
      </c>
      <c r="E13" s="4" t="s">
        <v>26</v>
      </c>
      <c r="F13" s="4">
        <v>-237</v>
      </c>
    </row>
    <row r="14" spans="1:9" x14ac:dyDescent="0.2">
      <c r="A14" s="8">
        <v>0.57944444444444443</v>
      </c>
      <c r="B14" s="6">
        <v>26.777339999999999</v>
      </c>
      <c r="C14" s="4">
        <v>790</v>
      </c>
      <c r="D14" s="4" t="s">
        <v>24</v>
      </c>
      <c r="E14" s="9">
        <v>0.65</v>
      </c>
      <c r="F14" s="4" t="s">
        <v>25</v>
      </c>
    </row>
    <row r="15" spans="1:9" x14ac:dyDescent="0.2">
      <c r="A15" s="8">
        <v>0.57946759259259262</v>
      </c>
      <c r="B15" s="6">
        <v>28.808589999999999</v>
      </c>
      <c r="C15" s="4">
        <v>791</v>
      </c>
      <c r="D15" s="4" t="s">
        <v>24</v>
      </c>
      <c r="E15" s="9">
        <v>0.65</v>
      </c>
      <c r="F15" s="4" t="s">
        <v>25</v>
      </c>
    </row>
    <row r="16" spans="1:9" x14ac:dyDescent="0.2">
      <c r="A16" s="8">
        <v>0.5794907407407407</v>
      </c>
      <c r="B16" s="6">
        <v>30.85547</v>
      </c>
      <c r="C16" s="4">
        <v>789</v>
      </c>
      <c r="D16" s="4" t="s">
        <v>24</v>
      </c>
      <c r="E16" s="9">
        <v>0.65</v>
      </c>
      <c r="F16" s="4" t="s">
        <v>25</v>
      </c>
    </row>
    <row r="17" spans="1:6" x14ac:dyDescent="0.2">
      <c r="A17" s="8">
        <v>0.57952546296296292</v>
      </c>
      <c r="B17" s="6">
        <v>32.90625</v>
      </c>
      <c r="C17" s="4">
        <v>790</v>
      </c>
      <c r="D17" s="4" t="s">
        <v>24</v>
      </c>
      <c r="E17" s="9">
        <v>0.65</v>
      </c>
      <c r="F17" s="4" t="s">
        <v>25</v>
      </c>
    </row>
    <row r="18" spans="1:6" x14ac:dyDescent="0.2">
      <c r="A18" s="8">
        <v>0.57954861111111111</v>
      </c>
      <c r="B18" s="6">
        <v>34.933590000000002</v>
      </c>
      <c r="C18" s="4">
        <v>792</v>
      </c>
      <c r="D18" s="4" t="s">
        <v>24</v>
      </c>
      <c r="E18" s="9">
        <v>0.65</v>
      </c>
      <c r="F18" s="4" t="s">
        <v>25</v>
      </c>
    </row>
    <row r="19" spans="1:6" x14ac:dyDescent="0.2">
      <c r="A19" s="8">
        <v>0.5795717592592593</v>
      </c>
      <c r="B19" s="6">
        <v>36.984380000000002</v>
      </c>
      <c r="C19" s="4">
        <v>792</v>
      </c>
      <c r="D19" s="4" t="s">
        <v>24</v>
      </c>
      <c r="E19" s="9">
        <v>0.66</v>
      </c>
      <c r="F19" s="4" t="s">
        <v>25</v>
      </c>
    </row>
    <row r="20" spans="1:6" x14ac:dyDescent="0.2">
      <c r="A20" s="8">
        <v>0.57959490740740738</v>
      </c>
      <c r="B20" s="6">
        <v>39.015630000000002</v>
      </c>
      <c r="C20" s="4">
        <v>789</v>
      </c>
      <c r="D20" s="4" t="s">
        <v>24</v>
      </c>
      <c r="E20" s="9">
        <v>0.65</v>
      </c>
      <c r="F20" s="4" t="s">
        <v>25</v>
      </c>
    </row>
    <row r="21" spans="1:6" x14ac:dyDescent="0.2">
      <c r="A21" s="8">
        <v>0.57961805555555557</v>
      </c>
      <c r="B21" s="6">
        <v>41.0625</v>
      </c>
      <c r="C21" s="4">
        <v>789</v>
      </c>
      <c r="D21" s="4" t="s">
        <v>24</v>
      </c>
      <c r="E21" s="9">
        <v>0.66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97169-ADA8-4EE6-A8F2-AE4B6D1BC564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0.58074074074074078</v>
      </c>
      <c r="B2" s="6">
        <v>1.796875</v>
      </c>
      <c r="C2" s="4">
        <v>830</v>
      </c>
      <c r="D2" s="4" t="s">
        <v>24</v>
      </c>
      <c r="E2" s="9">
        <v>0.65</v>
      </c>
      <c r="F2" s="4" t="s">
        <v>25</v>
      </c>
      <c r="H2">
        <f>AVERAGE(C2:C21)</f>
        <v>830.15</v>
      </c>
      <c r="I2">
        <f>91*(1023-H2)/H2</f>
        <v>21.139974703366864</v>
      </c>
    </row>
    <row r="3" spans="1:9" x14ac:dyDescent="0.2">
      <c r="A3" s="8">
        <v>0.58076388888888886</v>
      </c>
      <c r="B3" s="6">
        <v>3.8125</v>
      </c>
      <c r="C3" s="4">
        <v>830</v>
      </c>
      <c r="D3" s="4" t="s">
        <v>24</v>
      </c>
      <c r="E3" s="9">
        <v>0.65</v>
      </c>
      <c r="F3" s="4" t="s">
        <v>25</v>
      </c>
    </row>
    <row r="4" spans="1:9" x14ac:dyDescent="0.2">
      <c r="A4" s="8">
        <v>0.58078703703703705</v>
      </c>
      <c r="B4" s="6">
        <v>5.859375</v>
      </c>
      <c r="C4" s="4">
        <v>830</v>
      </c>
      <c r="D4" s="4" t="s">
        <v>24</v>
      </c>
      <c r="E4" s="9">
        <v>0.65</v>
      </c>
      <c r="F4" s="4" t="s">
        <v>25</v>
      </c>
    </row>
    <row r="5" spans="1:9" x14ac:dyDescent="0.2">
      <c r="A5" s="8">
        <v>0.58081018518518523</v>
      </c>
      <c r="B5" s="6">
        <v>7.8945309999999997</v>
      </c>
      <c r="C5" s="4">
        <v>831</v>
      </c>
      <c r="D5" s="4" t="s">
        <v>24</v>
      </c>
      <c r="E5" s="9">
        <v>0.65</v>
      </c>
      <c r="F5" s="4" t="s">
        <v>25</v>
      </c>
    </row>
    <row r="6" spans="1:9" x14ac:dyDescent="0.2">
      <c r="A6" s="8">
        <v>0.58083333333333331</v>
      </c>
      <c r="B6" s="6">
        <v>9.9414060000000006</v>
      </c>
      <c r="C6" s="4">
        <v>830</v>
      </c>
      <c r="D6" s="4" t="s">
        <v>24</v>
      </c>
      <c r="E6" s="9">
        <v>0.65</v>
      </c>
      <c r="F6" s="4" t="s">
        <v>25</v>
      </c>
    </row>
    <row r="7" spans="1:9" x14ac:dyDescent="0.2">
      <c r="A7" s="8">
        <v>0.5808564814814815</v>
      </c>
      <c r="B7" s="6">
        <v>11.976559999999999</v>
      </c>
      <c r="C7" s="4">
        <v>828</v>
      </c>
      <c r="D7" s="4" t="s">
        <v>24</v>
      </c>
      <c r="E7" s="9">
        <v>0.65</v>
      </c>
      <c r="F7" s="4" t="s">
        <v>25</v>
      </c>
    </row>
    <row r="8" spans="1:9" x14ac:dyDescent="0.2">
      <c r="A8" s="8">
        <v>0.58089120370370373</v>
      </c>
      <c r="B8" s="6">
        <v>14.523440000000001</v>
      </c>
      <c r="C8" s="4">
        <v>830</v>
      </c>
      <c r="D8" s="4" t="s">
        <v>26</v>
      </c>
      <c r="E8" s="4" t="s">
        <v>26</v>
      </c>
      <c r="F8" s="4">
        <v>-237</v>
      </c>
    </row>
    <row r="9" spans="1:9" x14ac:dyDescent="0.2">
      <c r="A9" s="8">
        <v>0.58091435185185181</v>
      </c>
      <c r="B9" s="6">
        <v>16.558589999999999</v>
      </c>
      <c r="C9" s="4">
        <v>830</v>
      </c>
      <c r="D9" s="4" t="s">
        <v>24</v>
      </c>
      <c r="E9" s="9">
        <v>0.65</v>
      </c>
      <c r="F9" s="4" t="s">
        <v>25</v>
      </c>
    </row>
    <row r="10" spans="1:9" x14ac:dyDescent="0.2">
      <c r="A10" s="8">
        <v>0.5809375</v>
      </c>
      <c r="B10" s="6">
        <v>18.60547</v>
      </c>
      <c r="C10" s="4">
        <v>831</v>
      </c>
      <c r="D10" s="4" t="s">
        <v>24</v>
      </c>
      <c r="E10" s="9">
        <v>0.65</v>
      </c>
      <c r="F10" s="4" t="s">
        <v>25</v>
      </c>
    </row>
    <row r="11" spans="1:9" x14ac:dyDescent="0.2">
      <c r="A11" s="8">
        <v>0.58096064814814818</v>
      </c>
      <c r="B11" s="6">
        <v>20.652339999999999</v>
      </c>
      <c r="C11" s="4">
        <v>831</v>
      </c>
      <c r="D11" s="4" t="s">
        <v>24</v>
      </c>
      <c r="E11" s="9">
        <v>0.65</v>
      </c>
      <c r="F11" s="4" t="s">
        <v>25</v>
      </c>
    </row>
    <row r="12" spans="1:9" x14ac:dyDescent="0.2">
      <c r="A12" s="8">
        <v>0.58098379629629626</v>
      </c>
      <c r="B12" s="6">
        <v>22.6875</v>
      </c>
      <c r="C12" s="4">
        <v>829</v>
      </c>
      <c r="D12" s="4" t="s">
        <v>24</v>
      </c>
      <c r="E12" s="9">
        <v>0.65</v>
      </c>
      <c r="F12" s="4" t="s">
        <v>25</v>
      </c>
    </row>
    <row r="13" spans="1:9" x14ac:dyDescent="0.2">
      <c r="A13" s="8">
        <v>0.58100694444444445</v>
      </c>
      <c r="B13" s="6">
        <v>24.734380000000002</v>
      </c>
      <c r="C13" s="4">
        <v>829</v>
      </c>
      <c r="D13" s="4" t="s">
        <v>24</v>
      </c>
      <c r="E13" s="9">
        <v>0.65</v>
      </c>
      <c r="F13" s="4" t="s">
        <v>25</v>
      </c>
    </row>
    <row r="14" spans="1:9" x14ac:dyDescent="0.2">
      <c r="A14" s="8">
        <v>0.58103009259259264</v>
      </c>
      <c r="B14" s="6">
        <v>26.76953</v>
      </c>
      <c r="C14" s="4">
        <v>830</v>
      </c>
      <c r="D14" s="4" t="s">
        <v>24</v>
      </c>
      <c r="E14" s="9">
        <v>0.65</v>
      </c>
      <c r="F14" s="4" t="s">
        <v>25</v>
      </c>
    </row>
    <row r="15" spans="1:9" x14ac:dyDescent="0.2">
      <c r="A15" s="8">
        <v>0.58105324074074072</v>
      </c>
      <c r="B15" s="6">
        <v>28.816410000000001</v>
      </c>
      <c r="C15" s="4">
        <v>831</v>
      </c>
      <c r="D15" s="4" t="s">
        <v>24</v>
      </c>
      <c r="E15" s="9">
        <v>0.65</v>
      </c>
      <c r="F15" s="4" t="s">
        <v>25</v>
      </c>
    </row>
    <row r="16" spans="1:9" x14ac:dyDescent="0.2">
      <c r="A16" s="8">
        <v>0.58107638888888891</v>
      </c>
      <c r="B16" s="6">
        <v>30.847660000000001</v>
      </c>
      <c r="C16" s="4">
        <v>831</v>
      </c>
      <c r="D16" s="4" t="s">
        <v>24</v>
      </c>
      <c r="E16" s="9">
        <v>0.65</v>
      </c>
      <c r="F16" s="4" t="s">
        <v>25</v>
      </c>
    </row>
    <row r="17" spans="1:6" x14ac:dyDescent="0.2">
      <c r="A17" s="8">
        <v>0.58109953703703698</v>
      </c>
      <c r="B17" s="6">
        <v>32.898440000000001</v>
      </c>
      <c r="C17" s="4">
        <v>831</v>
      </c>
      <c r="D17" s="4" t="s">
        <v>24</v>
      </c>
      <c r="E17" s="9">
        <v>0.65</v>
      </c>
      <c r="F17" s="4" t="s">
        <v>25</v>
      </c>
    </row>
    <row r="18" spans="1:6" x14ac:dyDescent="0.2">
      <c r="A18" s="8">
        <v>0.58113425925925921</v>
      </c>
      <c r="B18" s="6">
        <v>35.429690000000001</v>
      </c>
      <c r="C18" s="4">
        <v>830</v>
      </c>
      <c r="D18" s="4" t="s">
        <v>26</v>
      </c>
      <c r="E18" s="4" t="s">
        <v>26</v>
      </c>
      <c r="F18" s="4">
        <v>-237</v>
      </c>
    </row>
    <row r="19" spans="1:6" x14ac:dyDescent="0.2">
      <c r="A19" s="8">
        <v>0.5811574074074074</v>
      </c>
      <c r="B19" s="6">
        <v>37.476559999999999</v>
      </c>
      <c r="C19" s="4">
        <v>830</v>
      </c>
      <c r="D19" s="4" t="s">
        <v>24</v>
      </c>
      <c r="E19" s="9">
        <v>0.65</v>
      </c>
      <c r="F19" s="4" t="s">
        <v>25</v>
      </c>
    </row>
    <row r="20" spans="1:6" x14ac:dyDescent="0.2">
      <c r="A20" s="8">
        <v>0.58118055555555559</v>
      </c>
      <c r="B20" s="6">
        <v>39.523440000000001</v>
      </c>
      <c r="C20" s="4">
        <v>832</v>
      </c>
      <c r="D20" s="4" t="s">
        <v>24</v>
      </c>
      <c r="E20" s="9">
        <v>0.65</v>
      </c>
      <c r="F20" s="4" t="s">
        <v>25</v>
      </c>
    </row>
    <row r="21" spans="1:6" x14ac:dyDescent="0.2">
      <c r="A21" s="8">
        <v>0.58120370370370367</v>
      </c>
      <c r="B21" s="6">
        <v>41.554690000000001</v>
      </c>
      <c r="C21" s="4">
        <v>829</v>
      </c>
      <c r="D21" s="4" t="s">
        <v>24</v>
      </c>
      <c r="E21" s="9">
        <v>0.64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C3584-9626-4BAF-B2EE-C2CFD22FD0E6}">
  <dimension ref="A1:I21"/>
  <sheetViews>
    <sheetView workbookViewId="0">
      <selection activeCell="M4" sqref="M4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0.58240740740740737</v>
      </c>
      <c r="B2" s="6">
        <v>1.796875</v>
      </c>
      <c r="C2" s="4">
        <v>783</v>
      </c>
      <c r="D2" s="4" t="s">
        <v>24</v>
      </c>
      <c r="E2" s="9">
        <v>0.65</v>
      </c>
      <c r="F2" s="4" t="s">
        <v>25</v>
      </c>
      <c r="H2">
        <f>AVERAGE(C2:C21)</f>
        <v>788.35</v>
      </c>
      <c r="I2">
        <f>91*(1023-H2)/H2</f>
        <v>27.085875562884503</v>
      </c>
    </row>
    <row r="3" spans="1:9" x14ac:dyDescent="0.2">
      <c r="A3" s="8">
        <v>0.58243055555555556</v>
      </c>
      <c r="B3" s="6">
        <v>3.8164060000000002</v>
      </c>
      <c r="C3" s="4">
        <v>784</v>
      </c>
      <c r="D3" s="4" t="s">
        <v>24</v>
      </c>
      <c r="E3" s="9">
        <v>0.65</v>
      </c>
      <c r="F3" s="4" t="s">
        <v>25</v>
      </c>
    </row>
    <row r="4" spans="1:9" x14ac:dyDescent="0.2">
      <c r="A4" s="8">
        <v>0.58245370370370375</v>
      </c>
      <c r="B4" s="6">
        <v>5.8671879999999996</v>
      </c>
      <c r="C4" s="4">
        <v>786</v>
      </c>
      <c r="D4" s="4" t="s">
        <v>24</v>
      </c>
      <c r="E4" s="9">
        <v>0.65</v>
      </c>
      <c r="F4" s="4" t="s">
        <v>25</v>
      </c>
    </row>
    <row r="5" spans="1:9" x14ac:dyDescent="0.2">
      <c r="A5" s="8">
        <v>0.58247685185185183</v>
      </c>
      <c r="B5" s="6">
        <v>7.90625</v>
      </c>
      <c r="C5" s="4">
        <v>788</v>
      </c>
      <c r="D5" s="4" t="s">
        <v>24</v>
      </c>
      <c r="E5" s="9">
        <v>0.65</v>
      </c>
      <c r="F5" s="4" t="s">
        <v>25</v>
      </c>
    </row>
    <row r="6" spans="1:9" x14ac:dyDescent="0.2">
      <c r="A6" s="8">
        <v>0.58250000000000002</v>
      </c>
      <c r="B6" s="6">
        <v>9.9414060000000006</v>
      </c>
      <c r="C6" s="4">
        <v>785</v>
      </c>
      <c r="D6" s="4" t="s">
        <v>24</v>
      </c>
      <c r="E6" s="9">
        <v>0.65</v>
      </c>
      <c r="F6" s="4" t="s">
        <v>25</v>
      </c>
    </row>
    <row r="7" spans="1:9" x14ac:dyDescent="0.2">
      <c r="A7" s="8">
        <v>0.5825231481481481</v>
      </c>
      <c r="B7" s="6">
        <v>11.98828</v>
      </c>
      <c r="C7" s="4">
        <v>785</v>
      </c>
      <c r="D7" s="4" t="s">
        <v>24</v>
      </c>
      <c r="E7" s="9">
        <v>0.65</v>
      </c>
      <c r="F7" s="4" t="s">
        <v>25</v>
      </c>
    </row>
    <row r="8" spans="1:9" x14ac:dyDescent="0.2">
      <c r="A8" s="8">
        <v>0.58254629629629628</v>
      </c>
      <c r="B8" s="6">
        <v>14.035159999999999</v>
      </c>
      <c r="C8" s="4">
        <v>790</v>
      </c>
      <c r="D8" s="4" t="s">
        <v>24</v>
      </c>
      <c r="E8" s="9">
        <v>0.65</v>
      </c>
      <c r="F8" s="4" t="s">
        <v>25</v>
      </c>
    </row>
    <row r="9" spans="1:9" x14ac:dyDescent="0.2">
      <c r="A9" s="8">
        <v>0.58256944444444447</v>
      </c>
      <c r="B9" s="6">
        <v>16.070309999999999</v>
      </c>
      <c r="C9" s="4">
        <v>789</v>
      </c>
      <c r="D9" s="4" t="s">
        <v>24</v>
      </c>
      <c r="E9" s="9">
        <v>0.65</v>
      </c>
      <c r="F9" s="4" t="s">
        <v>25</v>
      </c>
    </row>
    <row r="10" spans="1:9" x14ac:dyDescent="0.2">
      <c r="A10" s="8">
        <v>0.58259259259259255</v>
      </c>
      <c r="B10" s="6">
        <v>18.101559999999999</v>
      </c>
      <c r="C10" s="4">
        <v>786</v>
      </c>
      <c r="D10" s="4" t="s">
        <v>24</v>
      </c>
      <c r="E10" s="9">
        <v>0.65</v>
      </c>
      <c r="F10" s="4" t="s">
        <v>25</v>
      </c>
    </row>
    <row r="11" spans="1:9" x14ac:dyDescent="0.2">
      <c r="A11" s="8">
        <v>0.58261574074074074</v>
      </c>
      <c r="B11" s="6">
        <v>20.15625</v>
      </c>
      <c r="C11" s="4">
        <v>787</v>
      </c>
      <c r="D11" s="4" t="s">
        <v>24</v>
      </c>
      <c r="E11" s="9">
        <v>0.65</v>
      </c>
      <c r="F11" s="4" t="s">
        <v>25</v>
      </c>
    </row>
    <row r="12" spans="1:9" x14ac:dyDescent="0.2">
      <c r="A12" s="8">
        <v>0.58263888888888893</v>
      </c>
      <c r="B12" s="6">
        <v>22.191410000000001</v>
      </c>
      <c r="C12" s="4">
        <v>791</v>
      </c>
      <c r="D12" s="4" t="s">
        <v>24</v>
      </c>
      <c r="E12" s="9">
        <v>0.65</v>
      </c>
      <c r="F12" s="4" t="s">
        <v>25</v>
      </c>
    </row>
    <row r="13" spans="1:9" x14ac:dyDescent="0.2">
      <c r="A13" s="8">
        <v>0.58266203703703701</v>
      </c>
      <c r="B13" s="6">
        <v>24.242190000000001</v>
      </c>
      <c r="C13" s="4">
        <v>789</v>
      </c>
      <c r="D13" s="4" t="s">
        <v>24</v>
      </c>
      <c r="E13" s="9">
        <v>0.65</v>
      </c>
      <c r="F13" s="4" t="s">
        <v>25</v>
      </c>
    </row>
    <row r="14" spans="1:9" x14ac:dyDescent="0.2">
      <c r="A14" s="8">
        <v>0.58268518518518519</v>
      </c>
      <c r="B14" s="6">
        <v>26.273440000000001</v>
      </c>
      <c r="C14" s="4">
        <v>789</v>
      </c>
      <c r="D14" s="4" t="s">
        <v>24</v>
      </c>
      <c r="E14" s="9">
        <v>0.65</v>
      </c>
      <c r="F14" s="4" t="s">
        <v>25</v>
      </c>
    </row>
    <row r="15" spans="1:9" x14ac:dyDescent="0.2">
      <c r="A15" s="8">
        <v>0.58270833333333338</v>
      </c>
      <c r="B15" s="6">
        <v>28.320309999999999</v>
      </c>
      <c r="C15" s="4">
        <v>791</v>
      </c>
      <c r="D15" s="4" t="s">
        <v>24</v>
      </c>
      <c r="E15" s="9">
        <v>0.65</v>
      </c>
      <c r="F15" s="4" t="s">
        <v>25</v>
      </c>
    </row>
    <row r="16" spans="1:9" x14ac:dyDescent="0.2">
      <c r="A16" s="8">
        <v>0.58273148148148146</v>
      </c>
      <c r="B16" s="6">
        <v>30.351559999999999</v>
      </c>
      <c r="C16" s="4">
        <v>793</v>
      </c>
      <c r="D16" s="4" t="s">
        <v>24</v>
      </c>
      <c r="E16" s="9">
        <v>0.65</v>
      </c>
      <c r="F16" s="4" t="s">
        <v>25</v>
      </c>
    </row>
    <row r="17" spans="1:6" x14ac:dyDescent="0.2">
      <c r="A17" s="8">
        <v>0.58275462962962965</v>
      </c>
      <c r="B17" s="6">
        <v>32.398440000000001</v>
      </c>
      <c r="C17" s="4">
        <v>789</v>
      </c>
      <c r="D17" s="4" t="s">
        <v>24</v>
      </c>
      <c r="E17" s="9">
        <v>0.65</v>
      </c>
      <c r="F17" s="4" t="s">
        <v>25</v>
      </c>
    </row>
    <row r="18" spans="1:6" x14ac:dyDescent="0.2">
      <c r="A18" s="8">
        <v>0.58277777777777773</v>
      </c>
      <c r="B18" s="6">
        <v>34.445309999999999</v>
      </c>
      <c r="C18" s="4">
        <v>789</v>
      </c>
      <c r="D18" s="4" t="s">
        <v>24</v>
      </c>
      <c r="E18" s="9">
        <v>0.65</v>
      </c>
      <c r="F18" s="4" t="s">
        <v>25</v>
      </c>
    </row>
    <row r="19" spans="1:6" x14ac:dyDescent="0.2">
      <c r="A19" s="8">
        <v>0.58280092592592592</v>
      </c>
      <c r="B19" s="6">
        <v>36.484380000000002</v>
      </c>
      <c r="C19" s="4">
        <v>790</v>
      </c>
      <c r="D19" s="4" t="s">
        <v>24</v>
      </c>
      <c r="E19" s="9">
        <v>0.65</v>
      </c>
      <c r="F19" s="4" t="s">
        <v>25</v>
      </c>
    </row>
    <row r="20" spans="1:6" x14ac:dyDescent="0.2">
      <c r="A20" s="8">
        <v>0.58282407407407411</v>
      </c>
      <c r="B20" s="6">
        <v>38.515630000000002</v>
      </c>
      <c r="C20" s="4">
        <v>792</v>
      </c>
      <c r="D20" s="4" t="s">
        <v>24</v>
      </c>
      <c r="E20" s="9">
        <v>0.65</v>
      </c>
      <c r="F20" s="4" t="s">
        <v>25</v>
      </c>
    </row>
    <row r="21" spans="1:6" x14ac:dyDescent="0.2">
      <c r="A21" s="8">
        <v>0.58284722222222218</v>
      </c>
      <c r="B21" s="6">
        <v>40.554690000000001</v>
      </c>
      <c r="C21" s="4">
        <v>791</v>
      </c>
      <c r="D21" s="4" t="s">
        <v>24</v>
      </c>
      <c r="E21" s="9">
        <v>0.65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9F1CD-54A6-4036-B581-11721A70F635}">
  <dimension ref="A1:J210"/>
  <sheetViews>
    <sheetView zoomScaleNormal="100" workbookViewId="0">
      <selection activeCell="J2" sqref="J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11.28515625" bestFit="1" customWidth="1"/>
    <col min="10" max="10" width="13.7109375" customWidth="1"/>
  </cols>
  <sheetData>
    <row r="1" spans="1:10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10" x14ac:dyDescent="0.2">
      <c r="A2" s="8">
        <v>0.60245370370370366</v>
      </c>
      <c r="B2" s="6">
        <v>1.828125</v>
      </c>
      <c r="C2" s="4">
        <v>820</v>
      </c>
      <c r="D2" s="4" t="s">
        <v>34</v>
      </c>
      <c r="E2" s="4" t="s">
        <v>34</v>
      </c>
      <c r="F2" s="4" t="s">
        <v>34</v>
      </c>
      <c r="G2">
        <f>91*(1023-C2)/C2</f>
        <v>22.528048780487804</v>
      </c>
      <c r="H2">
        <f>AVERAGE(C2:C210)</f>
        <v>818.52631578947364</v>
      </c>
      <c r="J2">
        <f>AVERAGE(G2:G210)</f>
        <v>22.732587397010448</v>
      </c>
    </row>
    <row r="3" spans="1:10" x14ac:dyDescent="0.2">
      <c r="A3" s="8">
        <v>0.60245370370370366</v>
      </c>
      <c r="B3" s="6">
        <v>2.2695310000000002</v>
      </c>
      <c r="C3" s="4">
        <v>819</v>
      </c>
      <c r="D3" s="4" t="s">
        <v>34</v>
      </c>
      <c r="E3" s="4" t="s">
        <v>34</v>
      </c>
      <c r="F3" s="4" t="s">
        <v>34</v>
      </c>
      <c r="G3">
        <f t="shared" ref="G3:G66" si="0">91*(1023-C3)/C3</f>
        <v>22.666666666666668</v>
      </c>
      <c r="H3" s="17"/>
    </row>
    <row r="4" spans="1:10" x14ac:dyDescent="0.2">
      <c r="A4" s="8">
        <v>0.60246527777777781</v>
      </c>
      <c r="B4" s="6">
        <v>2.7695310000000002</v>
      </c>
      <c r="C4" s="4">
        <v>820</v>
      </c>
      <c r="D4" s="4" t="s">
        <v>34</v>
      </c>
      <c r="E4" s="4" t="s">
        <v>34</v>
      </c>
      <c r="F4" s="4" t="s">
        <v>34</v>
      </c>
      <c r="G4">
        <f t="shared" si="0"/>
        <v>22.528048780487804</v>
      </c>
    </row>
    <row r="5" spans="1:10" x14ac:dyDescent="0.2">
      <c r="A5" s="8">
        <v>0.60246527777777781</v>
      </c>
      <c r="B5" s="6">
        <v>3.296875</v>
      </c>
      <c r="C5" s="4">
        <v>819</v>
      </c>
      <c r="D5" s="4" t="s">
        <v>35</v>
      </c>
      <c r="E5" s="9">
        <v>0.65</v>
      </c>
      <c r="F5" s="4" t="s">
        <v>25</v>
      </c>
      <c r="G5">
        <f t="shared" si="0"/>
        <v>22.666666666666668</v>
      </c>
    </row>
    <row r="6" spans="1:10" x14ac:dyDescent="0.2">
      <c r="A6" s="8">
        <v>0.60247685185185185</v>
      </c>
      <c r="B6" s="6">
        <v>3.8085939999999998</v>
      </c>
      <c r="C6" s="4">
        <v>819</v>
      </c>
      <c r="D6" s="4" t="s">
        <v>34</v>
      </c>
      <c r="E6" s="4" t="s">
        <v>34</v>
      </c>
      <c r="F6" s="4" t="s">
        <v>34</v>
      </c>
      <c r="G6">
        <f t="shared" si="0"/>
        <v>22.666666666666668</v>
      </c>
    </row>
    <row r="7" spans="1:10" x14ac:dyDescent="0.2">
      <c r="A7" s="8">
        <v>0.60247685185185185</v>
      </c>
      <c r="B7" s="6">
        <v>4.3046879999999996</v>
      </c>
      <c r="C7" s="4">
        <v>818</v>
      </c>
      <c r="D7" s="4" t="s">
        <v>34</v>
      </c>
      <c r="E7" s="4" t="s">
        <v>34</v>
      </c>
      <c r="F7" s="4" t="s">
        <v>34</v>
      </c>
      <c r="G7">
        <f t="shared" si="0"/>
        <v>22.80562347188264</v>
      </c>
    </row>
    <row r="8" spans="1:10" x14ac:dyDescent="0.2">
      <c r="A8" s="8">
        <v>0.60248842592592589</v>
      </c>
      <c r="B8" s="6">
        <v>4.8164059999999997</v>
      </c>
      <c r="C8" s="4">
        <v>818</v>
      </c>
      <c r="D8" s="4" t="s">
        <v>34</v>
      </c>
      <c r="E8" s="4" t="s">
        <v>34</v>
      </c>
      <c r="F8" s="4" t="s">
        <v>34</v>
      </c>
      <c r="G8">
        <f t="shared" si="0"/>
        <v>22.80562347188264</v>
      </c>
    </row>
    <row r="9" spans="1:10" x14ac:dyDescent="0.2">
      <c r="A9" s="8">
        <v>0.60248842592592589</v>
      </c>
      <c r="B9" s="6">
        <v>5.3085940000000003</v>
      </c>
      <c r="C9" s="4">
        <v>820</v>
      </c>
      <c r="D9" s="4" t="s">
        <v>34</v>
      </c>
      <c r="E9" s="4" t="s">
        <v>34</v>
      </c>
      <c r="F9" s="4" t="s">
        <v>34</v>
      </c>
      <c r="G9">
        <f t="shared" si="0"/>
        <v>22.528048780487804</v>
      </c>
    </row>
    <row r="10" spans="1:10" x14ac:dyDescent="0.2">
      <c r="A10" s="8">
        <v>0.60250000000000004</v>
      </c>
      <c r="B10" s="6">
        <v>5.8359379999999996</v>
      </c>
      <c r="C10" s="4">
        <v>820</v>
      </c>
      <c r="D10" s="4" t="s">
        <v>35</v>
      </c>
      <c r="E10" s="9">
        <v>0.64</v>
      </c>
      <c r="F10" s="4" t="s">
        <v>25</v>
      </c>
      <c r="G10">
        <f t="shared" si="0"/>
        <v>22.528048780487804</v>
      </c>
    </row>
    <row r="11" spans="1:10" x14ac:dyDescent="0.2">
      <c r="A11" s="8">
        <v>0.60250000000000004</v>
      </c>
      <c r="B11" s="6">
        <v>6.3515629999999996</v>
      </c>
      <c r="C11" s="4">
        <v>819</v>
      </c>
      <c r="D11" s="4" t="s">
        <v>34</v>
      </c>
      <c r="E11" s="4" t="s">
        <v>34</v>
      </c>
      <c r="F11" s="4" t="s">
        <v>34</v>
      </c>
      <c r="G11">
        <f t="shared" si="0"/>
        <v>22.666666666666668</v>
      </c>
    </row>
    <row r="12" spans="1:10" x14ac:dyDescent="0.2">
      <c r="A12" s="8">
        <v>0.60251157407407407</v>
      </c>
      <c r="B12" s="6">
        <v>6.8554690000000003</v>
      </c>
      <c r="C12" s="4">
        <v>818</v>
      </c>
      <c r="D12" s="4" t="s">
        <v>34</v>
      </c>
      <c r="E12" s="4" t="s">
        <v>34</v>
      </c>
      <c r="F12" s="4" t="s">
        <v>34</v>
      </c>
      <c r="G12">
        <f t="shared" si="0"/>
        <v>22.80562347188264</v>
      </c>
    </row>
    <row r="13" spans="1:10" x14ac:dyDescent="0.2">
      <c r="A13" s="8">
        <v>0.60251157407407407</v>
      </c>
      <c r="B13" s="6">
        <v>7.359375</v>
      </c>
      <c r="C13" s="4">
        <v>819</v>
      </c>
      <c r="D13" s="4" t="s">
        <v>34</v>
      </c>
      <c r="E13" s="4" t="s">
        <v>34</v>
      </c>
      <c r="F13" s="4" t="s">
        <v>34</v>
      </c>
      <c r="G13">
        <f t="shared" si="0"/>
        <v>22.666666666666668</v>
      </c>
    </row>
    <row r="14" spans="1:10" x14ac:dyDescent="0.2">
      <c r="A14" s="8">
        <v>0.60252314814814811</v>
      </c>
      <c r="B14" s="6">
        <v>7.8632809999999997</v>
      </c>
      <c r="C14" s="4">
        <v>819</v>
      </c>
      <c r="D14" s="4" t="s">
        <v>34</v>
      </c>
      <c r="E14" s="4" t="s">
        <v>34</v>
      </c>
      <c r="F14" s="4" t="s">
        <v>34</v>
      </c>
      <c r="G14">
        <f t="shared" si="0"/>
        <v>22.666666666666668</v>
      </c>
    </row>
    <row r="15" spans="1:10" x14ac:dyDescent="0.2">
      <c r="A15" s="8">
        <v>0.60252314814814811</v>
      </c>
      <c r="B15" s="6">
        <v>8.3828130000000005</v>
      </c>
      <c r="C15" s="4">
        <v>818</v>
      </c>
      <c r="D15" s="4" t="s">
        <v>35</v>
      </c>
      <c r="E15" s="9">
        <v>0.64</v>
      </c>
      <c r="F15" s="4" t="s">
        <v>25</v>
      </c>
      <c r="G15">
        <f t="shared" si="0"/>
        <v>22.80562347188264</v>
      </c>
    </row>
    <row r="16" spans="1:10" x14ac:dyDescent="0.2">
      <c r="A16" s="8">
        <v>0.60253472222222226</v>
      </c>
      <c r="B16" s="6">
        <v>8.9023439999999994</v>
      </c>
      <c r="C16" s="4">
        <v>818</v>
      </c>
      <c r="D16" s="4" t="s">
        <v>34</v>
      </c>
      <c r="E16" s="4" t="s">
        <v>34</v>
      </c>
      <c r="F16" s="4" t="s">
        <v>34</v>
      </c>
      <c r="G16">
        <f t="shared" si="0"/>
        <v>22.80562347188264</v>
      </c>
    </row>
    <row r="17" spans="1:7" x14ac:dyDescent="0.2">
      <c r="A17" s="8">
        <v>0.60253472222222226</v>
      </c>
      <c r="B17" s="6">
        <v>9.40625</v>
      </c>
      <c r="C17" s="4">
        <v>818</v>
      </c>
      <c r="D17" s="4" t="s">
        <v>34</v>
      </c>
      <c r="E17" s="4" t="s">
        <v>34</v>
      </c>
      <c r="F17" s="4" t="s">
        <v>34</v>
      </c>
      <c r="G17">
        <f t="shared" si="0"/>
        <v>22.80562347188264</v>
      </c>
    </row>
    <row r="18" spans="1:7" x14ac:dyDescent="0.2">
      <c r="A18" s="8">
        <v>0.6025462962962963</v>
      </c>
      <c r="B18" s="6">
        <v>9.9101560000000006</v>
      </c>
      <c r="C18" s="4">
        <v>820</v>
      </c>
      <c r="D18" s="4" t="s">
        <v>34</v>
      </c>
      <c r="E18" s="4" t="s">
        <v>34</v>
      </c>
      <c r="F18" s="4" t="s">
        <v>34</v>
      </c>
      <c r="G18">
        <f t="shared" si="0"/>
        <v>22.528048780487804</v>
      </c>
    </row>
    <row r="19" spans="1:7" x14ac:dyDescent="0.2">
      <c r="A19" s="8">
        <v>0.6025462962962963</v>
      </c>
      <c r="B19" s="6">
        <v>10.398440000000001</v>
      </c>
      <c r="C19" s="4">
        <v>819</v>
      </c>
      <c r="D19" s="4" t="s">
        <v>34</v>
      </c>
      <c r="E19" s="4" t="s">
        <v>34</v>
      </c>
      <c r="F19" s="4" t="s">
        <v>34</v>
      </c>
      <c r="G19">
        <f t="shared" si="0"/>
        <v>22.666666666666668</v>
      </c>
    </row>
    <row r="20" spans="1:7" x14ac:dyDescent="0.2">
      <c r="A20" s="8">
        <v>0.60255787037037034</v>
      </c>
      <c r="B20" s="6">
        <v>11.41797</v>
      </c>
      <c r="C20" s="4">
        <v>817</v>
      </c>
      <c r="D20" s="4" t="s">
        <v>26</v>
      </c>
      <c r="E20" s="4" t="s">
        <v>26</v>
      </c>
      <c r="F20" s="4">
        <v>-237</v>
      </c>
      <c r="G20">
        <f t="shared" si="0"/>
        <v>22.944920440636476</v>
      </c>
    </row>
    <row r="21" spans="1:7" x14ac:dyDescent="0.2">
      <c r="A21" s="8">
        <v>0.60256944444444449</v>
      </c>
      <c r="B21" s="6">
        <v>11.95313</v>
      </c>
      <c r="C21" s="4">
        <v>819</v>
      </c>
      <c r="D21" s="4" t="s">
        <v>26</v>
      </c>
      <c r="E21" s="4" t="s">
        <v>26</v>
      </c>
      <c r="F21" s="4">
        <v>4112</v>
      </c>
      <c r="G21">
        <f t="shared" si="0"/>
        <v>22.666666666666668</v>
      </c>
    </row>
    <row r="22" spans="1:7" x14ac:dyDescent="0.2">
      <c r="A22" s="8">
        <v>0.60256944444444449</v>
      </c>
      <c r="B22" s="6">
        <v>12.48828</v>
      </c>
      <c r="C22" s="4">
        <v>819</v>
      </c>
      <c r="D22" s="4" t="s">
        <v>35</v>
      </c>
      <c r="E22" s="9">
        <v>0.64</v>
      </c>
      <c r="F22" s="4" t="s">
        <v>25</v>
      </c>
      <c r="G22">
        <f t="shared" si="0"/>
        <v>22.666666666666668</v>
      </c>
    </row>
    <row r="23" spans="1:7" x14ac:dyDescent="0.2">
      <c r="A23" s="8">
        <v>0.60258101851851853</v>
      </c>
      <c r="B23" s="6">
        <v>13.007809999999999</v>
      </c>
      <c r="C23" s="4">
        <v>818</v>
      </c>
      <c r="D23" s="4" t="s">
        <v>34</v>
      </c>
      <c r="E23" s="4" t="s">
        <v>34</v>
      </c>
      <c r="F23" s="4" t="s">
        <v>34</v>
      </c>
      <c r="G23">
        <f t="shared" si="0"/>
        <v>22.80562347188264</v>
      </c>
    </row>
    <row r="24" spans="1:7" x14ac:dyDescent="0.2">
      <c r="A24" s="8">
        <v>0.60258101851851853</v>
      </c>
      <c r="B24" s="6">
        <v>13.496090000000001</v>
      </c>
      <c r="C24" s="4">
        <v>819</v>
      </c>
      <c r="D24" s="4" t="s">
        <v>34</v>
      </c>
      <c r="E24" s="4" t="s">
        <v>34</v>
      </c>
      <c r="F24" s="4" t="s">
        <v>34</v>
      </c>
      <c r="G24">
        <f t="shared" si="0"/>
        <v>22.666666666666668</v>
      </c>
    </row>
    <row r="25" spans="1:7" x14ac:dyDescent="0.2">
      <c r="A25" s="8">
        <v>0.60259259259259257</v>
      </c>
      <c r="B25" s="6">
        <v>14.003909999999999</v>
      </c>
      <c r="C25" s="4">
        <v>819</v>
      </c>
      <c r="D25" s="4" t="s">
        <v>34</v>
      </c>
      <c r="E25" s="4" t="s">
        <v>34</v>
      </c>
      <c r="F25" s="4" t="s">
        <v>34</v>
      </c>
      <c r="G25">
        <f t="shared" si="0"/>
        <v>22.666666666666668</v>
      </c>
    </row>
    <row r="26" spans="1:7" x14ac:dyDescent="0.2">
      <c r="A26" s="8">
        <v>0.60259259259259257</v>
      </c>
      <c r="B26" s="6">
        <v>14.503909999999999</v>
      </c>
      <c r="C26" s="4">
        <v>819</v>
      </c>
      <c r="D26" s="4" t="s">
        <v>34</v>
      </c>
      <c r="E26" s="4" t="s">
        <v>34</v>
      </c>
      <c r="F26" s="4" t="s">
        <v>34</v>
      </c>
      <c r="G26">
        <f t="shared" si="0"/>
        <v>22.666666666666668</v>
      </c>
    </row>
    <row r="27" spans="1:7" x14ac:dyDescent="0.2">
      <c r="A27" s="8">
        <v>0.60260416666666672</v>
      </c>
      <c r="B27" s="6">
        <v>15.039059999999999</v>
      </c>
      <c r="C27" s="4">
        <v>817</v>
      </c>
      <c r="D27" s="4" t="s">
        <v>35</v>
      </c>
      <c r="E27" s="9">
        <v>0.64</v>
      </c>
      <c r="F27" s="4" t="s">
        <v>25</v>
      </c>
      <c r="G27">
        <f t="shared" si="0"/>
        <v>22.944920440636476</v>
      </c>
    </row>
    <row r="28" spans="1:7" x14ac:dyDescent="0.2">
      <c r="A28" s="8">
        <v>0.60260416666666672</v>
      </c>
      <c r="B28" s="6">
        <v>15.54297</v>
      </c>
      <c r="C28" s="4">
        <v>818</v>
      </c>
      <c r="D28" s="4" t="s">
        <v>34</v>
      </c>
      <c r="E28" s="4" t="s">
        <v>34</v>
      </c>
      <c r="F28" s="4" t="s">
        <v>34</v>
      </c>
      <c r="G28">
        <f t="shared" si="0"/>
        <v>22.80562347188264</v>
      </c>
    </row>
    <row r="29" spans="1:7" x14ac:dyDescent="0.2">
      <c r="A29" s="8">
        <v>0.60261574074074076</v>
      </c>
      <c r="B29" s="6">
        <v>16.039059999999999</v>
      </c>
      <c r="C29" s="4">
        <v>819</v>
      </c>
      <c r="D29" s="4" t="s">
        <v>34</v>
      </c>
      <c r="E29" s="4" t="s">
        <v>34</v>
      </c>
      <c r="F29" s="4" t="s">
        <v>34</v>
      </c>
      <c r="G29">
        <f t="shared" si="0"/>
        <v>22.666666666666668</v>
      </c>
    </row>
    <row r="30" spans="1:7" x14ac:dyDescent="0.2">
      <c r="A30" s="8">
        <v>0.60261574074074076</v>
      </c>
      <c r="B30" s="6">
        <v>16.546880000000002</v>
      </c>
      <c r="C30" s="4">
        <v>818</v>
      </c>
      <c r="D30" s="4" t="s">
        <v>34</v>
      </c>
      <c r="E30" s="4" t="s">
        <v>34</v>
      </c>
      <c r="F30" s="4" t="s">
        <v>34</v>
      </c>
      <c r="G30">
        <f t="shared" si="0"/>
        <v>22.80562347188264</v>
      </c>
    </row>
    <row r="31" spans="1:7" x14ac:dyDescent="0.2">
      <c r="A31" s="8">
        <v>0.6026273148148148</v>
      </c>
      <c r="B31" s="6">
        <v>17.05078</v>
      </c>
      <c r="C31" s="4">
        <v>818</v>
      </c>
      <c r="D31" s="4" t="s">
        <v>34</v>
      </c>
      <c r="E31" s="4" t="s">
        <v>34</v>
      </c>
      <c r="F31" s="4" t="s">
        <v>34</v>
      </c>
      <c r="G31">
        <f t="shared" si="0"/>
        <v>22.80562347188264</v>
      </c>
    </row>
    <row r="32" spans="1:7" x14ac:dyDescent="0.2">
      <c r="A32" s="8">
        <v>0.6026273148148148</v>
      </c>
      <c r="B32" s="6">
        <v>17.570309999999999</v>
      </c>
      <c r="C32" s="4">
        <v>819</v>
      </c>
      <c r="D32" s="4" t="s">
        <v>35</v>
      </c>
      <c r="E32" s="9">
        <v>0.64</v>
      </c>
      <c r="F32" s="4" t="s">
        <v>25</v>
      </c>
      <c r="G32">
        <f t="shared" si="0"/>
        <v>22.666666666666668</v>
      </c>
    </row>
    <row r="33" spans="1:7" x14ac:dyDescent="0.2">
      <c r="A33" s="8">
        <v>0.60263888888888884</v>
      </c>
      <c r="B33" s="6">
        <v>18.089839999999999</v>
      </c>
      <c r="C33" s="4">
        <v>819</v>
      </c>
      <c r="D33" s="4" t="s">
        <v>34</v>
      </c>
      <c r="E33" s="4" t="s">
        <v>34</v>
      </c>
      <c r="F33" s="4" t="s">
        <v>34</v>
      </c>
      <c r="G33">
        <f t="shared" si="0"/>
        <v>22.666666666666668</v>
      </c>
    </row>
    <row r="34" spans="1:7" x14ac:dyDescent="0.2">
      <c r="A34" s="8">
        <v>0.60263888888888884</v>
      </c>
      <c r="B34" s="6">
        <v>18.585940000000001</v>
      </c>
      <c r="C34" s="4">
        <v>819</v>
      </c>
      <c r="D34" s="4" t="s">
        <v>34</v>
      </c>
      <c r="E34" s="4" t="s">
        <v>34</v>
      </c>
      <c r="F34" s="4" t="s">
        <v>34</v>
      </c>
      <c r="G34">
        <f t="shared" si="0"/>
        <v>22.666666666666668</v>
      </c>
    </row>
    <row r="35" spans="1:7" x14ac:dyDescent="0.2">
      <c r="A35" s="8">
        <v>0.60265046296296299</v>
      </c>
      <c r="B35" s="6">
        <v>19.097660000000001</v>
      </c>
      <c r="C35" s="4">
        <v>818</v>
      </c>
      <c r="D35" s="4" t="s">
        <v>34</v>
      </c>
      <c r="E35" s="4" t="s">
        <v>34</v>
      </c>
      <c r="F35" s="4" t="s">
        <v>34</v>
      </c>
      <c r="G35">
        <f t="shared" si="0"/>
        <v>22.80562347188264</v>
      </c>
    </row>
    <row r="36" spans="1:7" x14ac:dyDescent="0.2">
      <c r="A36" s="8">
        <v>0.60265046296296299</v>
      </c>
      <c r="B36" s="6">
        <v>19.601559999999999</v>
      </c>
      <c r="C36" s="4">
        <v>818</v>
      </c>
      <c r="D36" s="4" t="s">
        <v>34</v>
      </c>
      <c r="E36" s="4" t="s">
        <v>34</v>
      </c>
      <c r="F36" s="4" t="s">
        <v>34</v>
      </c>
      <c r="G36">
        <f t="shared" si="0"/>
        <v>22.80562347188264</v>
      </c>
    </row>
    <row r="37" spans="1:7" x14ac:dyDescent="0.2">
      <c r="A37" s="8">
        <v>0.60266203703703702</v>
      </c>
      <c r="B37" s="6">
        <v>20.121089999999999</v>
      </c>
      <c r="C37" s="4">
        <v>818</v>
      </c>
      <c r="D37" s="4" t="s">
        <v>35</v>
      </c>
      <c r="E37" s="9">
        <v>0.64</v>
      </c>
      <c r="F37" s="4" t="s">
        <v>25</v>
      </c>
      <c r="G37">
        <f t="shared" si="0"/>
        <v>22.80562347188264</v>
      </c>
    </row>
    <row r="38" spans="1:7" x14ac:dyDescent="0.2">
      <c r="A38" s="8">
        <v>0.60266203703703702</v>
      </c>
      <c r="B38" s="6">
        <v>20.640630000000002</v>
      </c>
      <c r="C38" s="4">
        <v>819</v>
      </c>
      <c r="D38" s="4" t="s">
        <v>34</v>
      </c>
      <c r="E38" s="4" t="s">
        <v>34</v>
      </c>
      <c r="F38" s="4" t="s">
        <v>34</v>
      </c>
      <c r="G38">
        <f t="shared" si="0"/>
        <v>22.666666666666668</v>
      </c>
    </row>
    <row r="39" spans="1:7" x14ac:dyDescent="0.2">
      <c r="A39" s="8">
        <v>0.60267361111111106</v>
      </c>
      <c r="B39" s="6">
        <v>21.128910000000001</v>
      </c>
      <c r="C39" s="4">
        <v>819</v>
      </c>
      <c r="D39" s="4" t="s">
        <v>34</v>
      </c>
      <c r="E39" s="4" t="s">
        <v>34</v>
      </c>
      <c r="F39" s="4" t="s">
        <v>34</v>
      </c>
      <c r="G39">
        <f t="shared" si="0"/>
        <v>22.666666666666668</v>
      </c>
    </row>
    <row r="40" spans="1:7" x14ac:dyDescent="0.2">
      <c r="A40" s="8">
        <v>0.60267361111111106</v>
      </c>
      <c r="B40" s="6">
        <v>21.632809999999999</v>
      </c>
      <c r="C40" s="4">
        <v>817</v>
      </c>
      <c r="D40" s="4" t="s">
        <v>34</v>
      </c>
      <c r="E40" s="4" t="s">
        <v>34</v>
      </c>
      <c r="F40" s="4" t="s">
        <v>34</v>
      </c>
      <c r="G40">
        <f t="shared" si="0"/>
        <v>22.944920440636476</v>
      </c>
    </row>
    <row r="41" spans="1:7" x14ac:dyDescent="0.2">
      <c r="A41" s="8">
        <v>0.60268518518518521</v>
      </c>
      <c r="B41" s="6">
        <v>22.13672</v>
      </c>
      <c r="C41" s="4">
        <v>818</v>
      </c>
      <c r="D41" s="4" t="s">
        <v>34</v>
      </c>
      <c r="E41" s="4" t="s">
        <v>34</v>
      </c>
      <c r="F41" s="4" t="s">
        <v>34</v>
      </c>
      <c r="G41">
        <f t="shared" si="0"/>
        <v>22.80562347188264</v>
      </c>
    </row>
    <row r="42" spans="1:7" x14ac:dyDescent="0.2">
      <c r="A42" s="8">
        <v>0.60268518518518521</v>
      </c>
      <c r="B42" s="6">
        <v>22.664059999999999</v>
      </c>
      <c r="C42" s="4">
        <v>819</v>
      </c>
      <c r="D42" s="4" t="s">
        <v>35</v>
      </c>
      <c r="E42" s="9">
        <v>0.64</v>
      </c>
      <c r="F42" s="4" t="s">
        <v>25</v>
      </c>
      <c r="G42">
        <f t="shared" si="0"/>
        <v>22.666666666666668</v>
      </c>
    </row>
    <row r="43" spans="1:7" x14ac:dyDescent="0.2">
      <c r="A43" s="8">
        <v>0.60269675925925925</v>
      </c>
      <c r="B43" s="6">
        <v>23.171880000000002</v>
      </c>
      <c r="C43" s="4">
        <v>818</v>
      </c>
      <c r="D43" s="4" t="s">
        <v>34</v>
      </c>
      <c r="E43" s="4" t="s">
        <v>34</v>
      </c>
      <c r="F43" s="4" t="s">
        <v>34</v>
      </c>
      <c r="G43">
        <f t="shared" si="0"/>
        <v>22.80562347188264</v>
      </c>
    </row>
    <row r="44" spans="1:7" x14ac:dyDescent="0.2">
      <c r="A44" s="8">
        <v>0.60269675925925925</v>
      </c>
      <c r="B44" s="6">
        <v>23.683589999999999</v>
      </c>
      <c r="C44" s="4">
        <v>819</v>
      </c>
      <c r="D44" s="4" t="s">
        <v>34</v>
      </c>
      <c r="E44" s="4" t="s">
        <v>34</v>
      </c>
      <c r="F44" s="4" t="s">
        <v>34</v>
      </c>
      <c r="G44">
        <f t="shared" si="0"/>
        <v>22.666666666666668</v>
      </c>
    </row>
    <row r="45" spans="1:7" x14ac:dyDescent="0.2">
      <c r="A45" s="8">
        <v>0.60270833333333329</v>
      </c>
      <c r="B45" s="6">
        <v>24.179690000000001</v>
      </c>
      <c r="C45" s="4">
        <v>818</v>
      </c>
      <c r="D45" s="4" t="s">
        <v>34</v>
      </c>
      <c r="E45" s="4" t="s">
        <v>34</v>
      </c>
      <c r="F45" s="4" t="s">
        <v>34</v>
      </c>
      <c r="G45">
        <f t="shared" si="0"/>
        <v>22.80562347188264</v>
      </c>
    </row>
    <row r="46" spans="1:7" x14ac:dyDescent="0.2">
      <c r="A46" s="8">
        <v>0.60270833333333329</v>
      </c>
      <c r="B46" s="6">
        <v>24.67578</v>
      </c>
      <c r="C46" s="4">
        <v>817</v>
      </c>
      <c r="D46" s="4" t="s">
        <v>34</v>
      </c>
      <c r="E46" s="4" t="s">
        <v>34</v>
      </c>
      <c r="F46" s="4" t="s">
        <v>34</v>
      </c>
      <c r="G46">
        <f t="shared" si="0"/>
        <v>22.944920440636476</v>
      </c>
    </row>
    <row r="47" spans="1:7" x14ac:dyDescent="0.2">
      <c r="A47" s="8">
        <v>0.60271990740740744</v>
      </c>
      <c r="B47" s="6">
        <v>25.203130000000002</v>
      </c>
      <c r="C47" s="4">
        <v>817</v>
      </c>
      <c r="D47" s="4" t="s">
        <v>35</v>
      </c>
      <c r="E47" s="9">
        <v>0.64</v>
      </c>
      <c r="F47" s="4" t="s">
        <v>25</v>
      </c>
      <c r="G47">
        <f t="shared" si="0"/>
        <v>22.944920440636476</v>
      </c>
    </row>
    <row r="48" spans="1:7" x14ac:dyDescent="0.2">
      <c r="A48" s="8">
        <v>0.60273148148148148</v>
      </c>
      <c r="B48" s="6">
        <v>25.71875</v>
      </c>
      <c r="C48" s="4">
        <v>820</v>
      </c>
      <c r="D48" s="4" t="s">
        <v>34</v>
      </c>
      <c r="E48" s="4" t="s">
        <v>34</v>
      </c>
      <c r="F48" s="4" t="s">
        <v>34</v>
      </c>
      <c r="G48">
        <f t="shared" si="0"/>
        <v>22.528048780487804</v>
      </c>
    </row>
    <row r="49" spans="1:7" x14ac:dyDescent="0.2">
      <c r="A49" s="8">
        <v>0.60273148148148148</v>
      </c>
      <c r="B49" s="6">
        <v>26.222660000000001</v>
      </c>
      <c r="C49" s="4">
        <v>819</v>
      </c>
      <c r="D49" s="4" t="s">
        <v>34</v>
      </c>
      <c r="E49" s="4" t="s">
        <v>34</v>
      </c>
      <c r="F49" s="4" t="s">
        <v>34</v>
      </c>
      <c r="G49">
        <f t="shared" si="0"/>
        <v>22.666666666666668</v>
      </c>
    </row>
    <row r="50" spans="1:7" x14ac:dyDescent="0.2">
      <c r="A50" s="8">
        <v>0.60274305555555552</v>
      </c>
      <c r="B50" s="6">
        <v>26.726559999999999</v>
      </c>
      <c r="C50" s="4">
        <v>818</v>
      </c>
      <c r="D50" s="4" t="s">
        <v>34</v>
      </c>
      <c r="E50" s="4" t="s">
        <v>34</v>
      </c>
      <c r="F50" s="4" t="s">
        <v>34</v>
      </c>
      <c r="G50">
        <f t="shared" si="0"/>
        <v>22.80562347188264</v>
      </c>
    </row>
    <row r="51" spans="1:7" x14ac:dyDescent="0.2">
      <c r="A51" s="8">
        <v>0.60274305555555552</v>
      </c>
      <c r="B51" s="6">
        <v>27.21875</v>
      </c>
      <c r="C51" s="4">
        <v>820</v>
      </c>
      <c r="D51" s="4" t="s">
        <v>34</v>
      </c>
      <c r="E51" s="4" t="s">
        <v>34</v>
      </c>
      <c r="F51" s="4" t="s">
        <v>34</v>
      </c>
      <c r="G51">
        <f t="shared" si="0"/>
        <v>22.528048780487804</v>
      </c>
    </row>
    <row r="52" spans="1:7" x14ac:dyDescent="0.2">
      <c r="A52" s="8">
        <v>0.60275462962962967</v>
      </c>
      <c r="B52" s="6">
        <v>27.742190000000001</v>
      </c>
      <c r="C52" s="4">
        <v>819</v>
      </c>
      <c r="D52" s="4" t="s">
        <v>35</v>
      </c>
      <c r="E52" s="9">
        <v>0.64</v>
      </c>
      <c r="F52" s="4" t="s">
        <v>25</v>
      </c>
      <c r="G52">
        <f t="shared" si="0"/>
        <v>22.666666666666668</v>
      </c>
    </row>
    <row r="53" spans="1:7" x14ac:dyDescent="0.2">
      <c r="A53" s="8">
        <v>0.60275462962962967</v>
      </c>
      <c r="B53" s="6">
        <v>28.26953</v>
      </c>
      <c r="C53" s="4">
        <v>819</v>
      </c>
      <c r="D53" s="4" t="s">
        <v>34</v>
      </c>
      <c r="E53" s="4" t="s">
        <v>34</v>
      </c>
      <c r="F53" s="4" t="s">
        <v>34</v>
      </c>
      <c r="G53">
        <f t="shared" si="0"/>
        <v>22.666666666666668</v>
      </c>
    </row>
    <row r="54" spans="1:7" x14ac:dyDescent="0.2">
      <c r="A54" s="8">
        <v>0.60276620370370371</v>
      </c>
      <c r="B54" s="6">
        <v>28.76953</v>
      </c>
      <c r="C54" s="4">
        <v>817</v>
      </c>
      <c r="D54" s="4" t="s">
        <v>34</v>
      </c>
      <c r="E54" s="4" t="s">
        <v>34</v>
      </c>
      <c r="F54" s="4" t="s">
        <v>34</v>
      </c>
      <c r="G54">
        <f t="shared" si="0"/>
        <v>22.944920440636476</v>
      </c>
    </row>
    <row r="55" spans="1:7" x14ac:dyDescent="0.2">
      <c r="A55" s="8">
        <v>0.60276620370370371</v>
      </c>
      <c r="B55" s="6">
        <v>29.277339999999999</v>
      </c>
      <c r="C55" s="4">
        <v>818</v>
      </c>
      <c r="D55" s="4" t="s">
        <v>34</v>
      </c>
      <c r="E55" s="4" t="s">
        <v>34</v>
      </c>
      <c r="F55" s="4" t="s">
        <v>34</v>
      </c>
      <c r="G55">
        <f t="shared" si="0"/>
        <v>22.80562347188264</v>
      </c>
    </row>
    <row r="56" spans="1:7" x14ac:dyDescent="0.2">
      <c r="A56" s="8">
        <v>0.60277777777777775</v>
      </c>
      <c r="B56" s="6">
        <v>29.773440000000001</v>
      </c>
      <c r="C56" s="4">
        <v>818</v>
      </c>
      <c r="D56" s="4" t="s">
        <v>34</v>
      </c>
      <c r="E56" s="4" t="s">
        <v>34</v>
      </c>
      <c r="F56" s="4" t="s">
        <v>34</v>
      </c>
      <c r="G56">
        <f t="shared" si="0"/>
        <v>22.80562347188264</v>
      </c>
    </row>
    <row r="57" spans="1:7" x14ac:dyDescent="0.2">
      <c r="A57" s="8">
        <v>0.60277777777777775</v>
      </c>
      <c r="B57" s="6">
        <v>30.296880000000002</v>
      </c>
      <c r="C57" s="4">
        <v>819</v>
      </c>
      <c r="D57" s="4" t="s">
        <v>35</v>
      </c>
      <c r="E57" s="9">
        <v>0.64</v>
      </c>
      <c r="F57" s="4" t="s">
        <v>25</v>
      </c>
      <c r="G57">
        <f t="shared" si="0"/>
        <v>22.666666666666668</v>
      </c>
    </row>
    <row r="58" spans="1:7" x14ac:dyDescent="0.2">
      <c r="A58" s="8">
        <v>0.6027893518518519</v>
      </c>
      <c r="B58" s="6">
        <v>30.804690000000001</v>
      </c>
      <c r="C58" s="4">
        <v>819</v>
      </c>
      <c r="D58" s="4" t="s">
        <v>34</v>
      </c>
      <c r="E58" s="4" t="s">
        <v>34</v>
      </c>
      <c r="F58" s="4" t="s">
        <v>34</v>
      </c>
      <c r="G58">
        <f t="shared" si="0"/>
        <v>22.666666666666668</v>
      </c>
    </row>
    <row r="59" spans="1:7" x14ac:dyDescent="0.2">
      <c r="A59" s="8">
        <v>0.6027893518518519</v>
      </c>
      <c r="B59" s="6">
        <v>31.316410000000001</v>
      </c>
      <c r="C59" s="4">
        <v>819</v>
      </c>
      <c r="D59" s="4" t="s">
        <v>34</v>
      </c>
      <c r="E59" s="4" t="s">
        <v>34</v>
      </c>
      <c r="F59" s="4" t="s">
        <v>34</v>
      </c>
      <c r="G59">
        <f t="shared" si="0"/>
        <v>22.666666666666668</v>
      </c>
    </row>
    <row r="60" spans="1:7" x14ac:dyDescent="0.2">
      <c r="A60" s="8">
        <v>0.60280092592592593</v>
      </c>
      <c r="B60" s="6">
        <v>31.816410000000001</v>
      </c>
      <c r="C60" s="4">
        <v>819</v>
      </c>
      <c r="D60" s="4" t="s">
        <v>34</v>
      </c>
      <c r="E60" s="4" t="s">
        <v>34</v>
      </c>
      <c r="F60" s="4" t="s">
        <v>34</v>
      </c>
      <c r="G60">
        <f t="shared" si="0"/>
        <v>22.666666666666668</v>
      </c>
    </row>
    <row r="61" spans="1:7" x14ac:dyDescent="0.2">
      <c r="A61" s="8">
        <v>0.60280092592592593</v>
      </c>
      <c r="B61" s="6">
        <v>32.320309999999999</v>
      </c>
      <c r="C61" s="4">
        <v>817</v>
      </c>
      <c r="D61" s="4" t="s">
        <v>34</v>
      </c>
      <c r="E61" s="4" t="s">
        <v>34</v>
      </c>
      <c r="F61" s="4" t="s">
        <v>34</v>
      </c>
      <c r="G61">
        <f t="shared" si="0"/>
        <v>22.944920440636476</v>
      </c>
    </row>
    <row r="62" spans="1:7" x14ac:dyDescent="0.2">
      <c r="A62" s="8">
        <v>0.60281249999999997</v>
      </c>
      <c r="B62" s="6">
        <v>32.832030000000003</v>
      </c>
      <c r="C62" s="4">
        <v>817</v>
      </c>
      <c r="D62" s="4" t="s">
        <v>35</v>
      </c>
      <c r="E62" s="9">
        <v>0.64</v>
      </c>
      <c r="F62" s="4" t="s">
        <v>25</v>
      </c>
      <c r="G62">
        <f t="shared" si="0"/>
        <v>22.944920440636476</v>
      </c>
    </row>
    <row r="63" spans="1:7" x14ac:dyDescent="0.2">
      <c r="A63" s="8">
        <v>0.60281249999999997</v>
      </c>
      <c r="B63" s="6">
        <v>33.355469999999997</v>
      </c>
      <c r="C63" s="4">
        <v>819</v>
      </c>
      <c r="D63" s="4" t="s">
        <v>34</v>
      </c>
      <c r="E63" s="4" t="s">
        <v>34</v>
      </c>
      <c r="F63" s="4" t="s">
        <v>34</v>
      </c>
      <c r="G63">
        <f t="shared" si="0"/>
        <v>22.666666666666668</v>
      </c>
    </row>
    <row r="64" spans="1:7" x14ac:dyDescent="0.2">
      <c r="A64" s="8">
        <v>0.60282407407407412</v>
      </c>
      <c r="B64" s="6">
        <v>33.855469999999997</v>
      </c>
      <c r="C64" s="4">
        <v>819</v>
      </c>
      <c r="D64" s="4" t="s">
        <v>34</v>
      </c>
      <c r="E64" s="4" t="s">
        <v>34</v>
      </c>
      <c r="F64" s="4" t="s">
        <v>34</v>
      </c>
      <c r="G64">
        <f t="shared" si="0"/>
        <v>22.666666666666668</v>
      </c>
    </row>
    <row r="65" spans="1:7" x14ac:dyDescent="0.2">
      <c r="A65" s="8">
        <v>0.60282407407407412</v>
      </c>
      <c r="B65" s="6">
        <v>34.351559999999999</v>
      </c>
      <c r="C65" s="4">
        <v>817</v>
      </c>
      <c r="D65" s="4" t="s">
        <v>34</v>
      </c>
      <c r="E65" s="4" t="s">
        <v>34</v>
      </c>
      <c r="F65" s="4" t="s">
        <v>34</v>
      </c>
      <c r="G65">
        <f t="shared" si="0"/>
        <v>22.944920440636476</v>
      </c>
    </row>
    <row r="66" spans="1:7" x14ac:dyDescent="0.2">
      <c r="A66" s="8">
        <v>0.60283564814814816</v>
      </c>
      <c r="B66" s="6">
        <v>34.871090000000002</v>
      </c>
      <c r="C66" s="4">
        <v>819</v>
      </c>
      <c r="D66" s="4" t="s">
        <v>34</v>
      </c>
      <c r="E66" s="4" t="s">
        <v>34</v>
      </c>
      <c r="F66" s="4" t="s">
        <v>34</v>
      </c>
      <c r="G66">
        <f t="shared" si="0"/>
        <v>22.666666666666668</v>
      </c>
    </row>
    <row r="67" spans="1:7" x14ac:dyDescent="0.2">
      <c r="A67" s="8">
        <v>0.60283564814814816</v>
      </c>
      <c r="B67" s="6">
        <v>35.386719999999997</v>
      </c>
      <c r="C67" s="4">
        <v>819</v>
      </c>
      <c r="D67" s="4" t="s">
        <v>35</v>
      </c>
      <c r="E67" s="9">
        <v>0.64</v>
      </c>
      <c r="F67" s="4" t="s">
        <v>25</v>
      </c>
      <c r="G67">
        <f t="shared" ref="G67:G130" si="1">91*(1023-C67)/C67</f>
        <v>22.666666666666668</v>
      </c>
    </row>
    <row r="68" spans="1:7" x14ac:dyDescent="0.2">
      <c r="A68" s="8">
        <v>0.6028472222222222</v>
      </c>
      <c r="B68" s="6">
        <v>35.886719999999997</v>
      </c>
      <c r="C68" s="4">
        <v>819</v>
      </c>
      <c r="D68" s="4" t="s">
        <v>34</v>
      </c>
      <c r="E68" s="4" t="s">
        <v>34</v>
      </c>
      <c r="F68" s="4" t="s">
        <v>34</v>
      </c>
      <c r="G68">
        <f t="shared" si="1"/>
        <v>22.666666666666668</v>
      </c>
    </row>
    <row r="69" spans="1:7" x14ac:dyDescent="0.2">
      <c r="A69" s="8">
        <v>0.6028472222222222</v>
      </c>
      <c r="B69" s="6">
        <v>36.398440000000001</v>
      </c>
      <c r="C69" s="4">
        <v>818</v>
      </c>
      <c r="D69" s="4" t="s">
        <v>34</v>
      </c>
      <c r="E69" s="4" t="s">
        <v>34</v>
      </c>
      <c r="F69" s="4" t="s">
        <v>34</v>
      </c>
      <c r="G69">
        <f t="shared" si="1"/>
        <v>22.80562347188264</v>
      </c>
    </row>
    <row r="70" spans="1:7" x14ac:dyDescent="0.2">
      <c r="A70" s="8">
        <v>0.60285879629629635</v>
      </c>
      <c r="B70" s="6">
        <v>36.902340000000002</v>
      </c>
      <c r="C70" s="4">
        <v>819</v>
      </c>
      <c r="D70" s="4" t="s">
        <v>34</v>
      </c>
      <c r="E70" s="4" t="s">
        <v>34</v>
      </c>
      <c r="F70" s="4" t="s">
        <v>34</v>
      </c>
      <c r="G70">
        <f t="shared" si="1"/>
        <v>22.666666666666668</v>
      </c>
    </row>
    <row r="71" spans="1:7" x14ac:dyDescent="0.2">
      <c r="A71" s="8">
        <v>0.60285879629629635</v>
      </c>
      <c r="B71" s="6">
        <v>37.402340000000002</v>
      </c>
      <c r="C71" s="4">
        <v>819</v>
      </c>
      <c r="D71" s="4" t="s">
        <v>34</v>
      </c>
      <c r="E71" s="4" t="s">
        <v>34</v>
      </c>
      <c r="F71" s="4" t="s">
        <v>34</v>
      </c>
      <c r="G71">
        <f t="shared" si="1"/>
        <v>22.666666666666668</v>
      </c>
    </row>
    <row r="72" spans="1:7" x14ac:dyDescent="0.2">
      <c r="A72" s="8">
        <v>0.60287037037037039</v>
      </c>
      <c r="B72" s="6">
        <v>37.929690000000001</v>
      </c>
      <c r="C72" s="4">
        <v>818</v>
      </c>
      <c r="D72" s="4" t="s">
        <v>35</v>
      </c>
      <c r="E72" s="9">
        <v>0.64</v>
      </c>
      <c r="F72" s="4" t="s">
        <v>25</v>
      </c>
      <c r="G72">
        <f t="shared" si="1"/>
        <v>22.80562347188264</v>
      </c>
    </row>
    <row r="73" spans="1:7" x14ac:dyDescent="0.2">
      <c r="A73" s="8">
        <v>0.60287037037037039</v>
      </c>
      <c r="B73" s="6">
        <v>38.441409999999998</v>
      </c>
      <c r="C73" s="4">
        <v>819</v>
      </c>
      <c r="D73" s="4" t="s">
        <v>34</v>
      </c>
      <c r="E73" s="4" t="s">
        <v>34</v>
      </c>
      <c r="F73" s="4" t="s">
        <v>34</v>
      </c>
      <c r="G73">
        <f t="shared" si="1"/>
        <v>22.666666666666668</v>
      </c>
    </row>
    <row r="74" spans="1:7" x14ac:dyDescent="0.2">
      <c r="A74" s="8">
        <v>0.60288194444444443</v>
      </c>
      <c r="B74" s="6">
        <v>38.933590000000002</v>
      </c>
      <c r="C74" s="4">
        <v>819</v>
      </c>
      <c r="D74" s="4" t="s">
        <v>34</v>
      </c>
      <c r="E74" s="4" t="s">
        <v>34</v>
      </c>
      <c r="F74" s="4" t="s">
        <v>34</v>
      </c>
      <c r="G74">
        <f t="shared" si="1"/>
        <v>22.666666666666668</v>
      </c>
    </row>
    <row r="75" spans="1:7" x14ac:dyDescent="0.2">
      <c r="A75" s="8">
        <v>0.60288194444444443</v>
      </c>
      <c r="B75" s="6">
        <v>39.429690000000001</v>
      </c>
      <c r="C75" s="4">
        <v>819</v>
      </c>
      <c r="D75" s="4" t="s">
        <v>34</v>
      </c>
      <c r="E75" s="4" t="s">
        <v>34</v>
      </c>
      <c r="F75" s="4" t="s">
        <v>34</v>
      </c>
      <c r="G75">
        <f t="shared" si="1"/>
        <v>22.666666666666668</v>
      </c>
    </row>
    <row r="76" spans="1:7" x14ac:dyDescent="0.2">
      <c r="A76" s="8">
        <v>0.60289351851851847</v>
      </c>
      <c r="B76" s="6">
        <v>39.945309999999999</v>
      </c>
      <c r="C76" s="4">
        <v>819</v>
      </c>
      <c r="D76" s="4" t="s">
        <v>34</v>
      </c>
      <c r="E76" s="4" t="s">
        <v>34</v>
      </c>
      <c r="F76" s="4" t="s">
        <v>34</v>
      </c>
      <c r="G76">
        <f t="shared" si="1"/>
        <v>22.666666666666668</v>
      </c>
    </row>
    <row r="77" spans="1:7" x14ac:dyDescent="0.2">
      <c r="A77" s="8">
        <v>0.60289351851851847</v>
      </c>
      <c r="B77" s="6">
        <v>40.457030000000003</v>
      </c>
      <c r="C77" s="4">
        <v>819</v>
      </c>
      <c r="D77" s="4" t="s">
        <v>35</v>
      </c>
      <c r="E77" s="9">
        <v>0.64</v>
      </c>
      <c r="F77" s="4" t="s">
        <v>25</v>
      </c>
      <c r="G77">
        <f t="shared" si="1"/>
        <v>22.666666666666668</v>
      </c>
    </row>
    <row r="78" spans="1:7" x14ac:dyDescent="0.2">
      <c r="A78" s="8">
        <v>0.60290509259259262</v>
      </c>
      <c r="B78" s="6">
        <v>40.980469999999997</v>
      </c>
      <c r="C78" s="4">
        <v>818</v>
      </c>
      <c r="D78" s="4" t="s">
        <v>34</v>
      </c>
      <c r="E78" s="4" t="s">
        <v>34</v>
      </c>
      <c r="F78" s="4" t="s">
        <v>34</v>
      </c>
      <c r="G78">
        <f t="shared" si="1"/>
        <v>22.80562347188264</v>
      </c>
    </row>
    <row r="79" spans="1:7" x14ac:dyDescent="0.2">
      <c r="A79" s="8">
        <v>0.60290509259259262</v>
      </c>
      <c r="B79" s="6">
        <v>41.476559999999999</v>
      </c>
      <c r="C79" s="4">
        <v>819</v>
      </c>
      <c r="D79" s="4" t="s">
        <v>34</v>
      </c>
      <c r="E79" s="4" t="s">
        <v>34</v>
      </c>
      <c r="F79" s="4" t="s">
        <v>34</v>
      </c>
      <c r="G79">
        <f t="shared" si="1"/>
        <v>22.666666666666668</v>
      </c>
    </row>
    <row r="80" spans="1:7" x14ac:dyDescent="0.2">
      <c r="A80" s="8">
        <v>0.60291666666666666</v>
      </c>
      <c r="B80" s="6">
        <v>41.988280000000003</v>
      </c>
      <c r="C80" s="4">
        <v>819</v>
      </c>
      <c r="D80" s="4" t="s">
        <v>34</v>
      </c>
      <c r="E80" s="4" t="s">
        <v>34</v>
      </c>
      <c r="F80" s="4" t="s">
        <v>34</v>
      </c>
      <c r="G80">
        <f t="shared" si="1"/>
        <v>22.666666666666668</v>
      </c>
    </row>
    <row r="81" spans="1:7" x14ac:dyDescent="0.2">
      <c r="A81" s="8">
        <v>0.60291666666666666</v>
      </c>
      <c r="B81" s="6">
        <v>42.484380000000002</v>
      </c>
      <c r="C81" s="4">
        <v>818</v>
      </c>
      <c r="D81" s="4" t="s">
        <v>34</v>
      </c>
      <c r="E81" s="4" t="s">
        <v>34</v>
      </c>
      <c r="F81" s="4" t="s">
        <v>34</v>
      </c>
      <c r="G81">
        <f t="shared" si="1"/>
        <v>22.80562347188264</v>
      </c>
    </row>
    <row r="82" spans="1:7" x14ac:dyDescent="0.2">
      <c r="A82" s="8">
        <v>0.6029282407407407</v>
      </c>
      <c r="B82" s="6">
        <v>43.007809999999999</v>
      </c>
      <c r="C82" s="4">
        <v>819</v>
      </c>
      <c r="D82" s="4" t="s">
        <v>35</v>
      </c>
      <c r="E82" s="9">
        <v>0.64</v>
      </c>
      <c r="F82" s="4" t="s">
        <v>25</v>
      </c>
      <c r="G82">
        <f t="shared" si="1"/>
        <v>22.666666666666668</v>
      </c>
    </row>
    <row r="83" spans="1:7" x14ac:dyDescent="0.2">
      <c r="A83" s="8">
        <v>0.6029282407407407</v>
      </c>
      <c r="B83" s="6">
        <v>43.523440000000001</v>
      </c>
      <c r="C83" s="4">
        <v>818</v>
      </c>
      <c r="D83" s="4" t="s">
        <v>34</v>
      </c>
      <c r="E83" s="4" t="s">
        <v>34</v>
      </c>
      <c r="F83" s="4" t="s">
        <v>34</v>
      </c>
      <c r="G83">
        <f t="shared" si="1"/>
        <v>22.80562347188264</v>
      </c>
    </row>
    <row r="84" spans="1:7" x14ac:dyDescent="0.2">
      <c r="A84" s="8">
        <v>0.60293981481481485</v>
      </c>
      <c r="B84" s="6">
        <v>44.027340000000002</v>
      </c>
      <c r="C84" s="4">
        <v>820</v>
      </c>
      <c r="D84" s="4" t="s">
        <v>34</v>
      </c>
      <c r="E84" s="4" t="s">
        <v>34</v>
      </c>
      <c r="F84" s="4" t="s">
        <v>34</v>
      </c>
      <c r="G84">
        <f t="shared" si="1"/>
        <v>22.528048780487804</v>
      </c>
    </row>
    <row r="85" spans="1:7" x14ac:dyDescent="0.2">
      <c r="A85" s="8">
        <v>0.60293981481481485</v>
      </c>
      <c r="B85" s="6">
        <v>44.527340000000002</v>
      </c>
      <c r="C85" s="4">
        <v>819</v>
      </c>
      <c r="D85" s="4" t="s">
        <v>34</v>
      </c>
      <c r="E85" s="4" t="s">
        <v>34</v>
      </c>
      <c r="F85" s="4" t="s">
        <v>34</v>
      </c>
      <c r="G85">
        <f t="shared" si="1"/>
        <v>22.666666666666668</v>
      </c>
    </row>
    <row r="86" spans="1:7" x14ac:dyDescent="0.2">
      <c r="A86" s="8">
        <v>0.60295138888888888</v>
      </c>
      <c r="B86" s="6">
        <v>45.023440000000001</v>
      </c>
      <c r="C86" s="4">
        <v>818</v>
      </c>
      <c r="D86" s="4" t="s">
        <v>34</v>
      </c>
      <c r="E86" s="4" t="s">
        <v>34</v>
      </c>
      <c r="F86" s="4" t="s">
        <v>34</v>
      </c>
      <c r="G86">
        <f t="shared" si="1"/>
        <v>22.80562347188264</v>
      </c>
    </row>
    <row r="87" spans="1:7" x14ac:dyDescent="0.2">
      <c r="A87" s="8">
        <v>0.60295138888888888</v>
      </c>
      <c r="B87" s="6">
        <v>45.542969999999997</v>
      </c>
      <c r="C87" s="4">
        <v>819</v>
      </c>
      <c r="D87" s="4" t="s">
        <v>35</v>
      </c>
      <c r="E87" s="9">
        <v>0.64</v>
      </c>
      <c r="F87" s="4" t="s">
        <v>25</v>
      </c>
      <c r="G87">
        <f t="shared" si="1"/>
        <v>22.666666666666668</v>
      </c>
    </row>
    <row r="88" spans="1:7" x14ac:dyDescent="0.2">
      <c r="A88" s="8">
        <v>0.60296296296296292</v>
      </c>
      <c r="B88" s="6">
        <v>46.058590000000002</v>
      </c>
      <c r="C88" s="4">
        <v>818</v>
      </c>
      <c r="D88" s="4" t="s">
        <v>34</v>
      </c>
      <c r="E88" s="4" t="s">
        <v>34</v>
      </c>
      <c r="F88" s="4" t="s">
        <v>34</v>
      </c>
      <c r="G88">
        <f t="shared" si="1"/>
        <v>22.80562347188264</v>
      </c>
    </row>
    <row r="89" spans="1:7" x14ac:dyDescent="0.2">
      <c r="A89" s="8">
        <v>0.60296296296296292</v>
      </c>
      <c r="B89" s="6">
        <v>46.558590000000002</v>
      </c>
      <c r="C89" s="4">
        <v>818</v>
      </c>
      <c r="D89" s="4" t="s">
        <v>34</v>
      </c>
      <c r="E89" s="4" t="s">
        <v>34</v>
      </c>
      <c r="F89" s="4" t="s">
        <v>34</v>
      </c>
      <c r="G89">
        <f t="shared" si="1"/>
        <v>22.80562347188264</v>
      </c>
    </row>
    <row r="90" spans="1:7" x14ac:dyDescent="0.2">
      <c r="A90" s="8">
        <v>0.60297453703703707</v>
      </c>
      <c r="B90" s="6">
        <v>47.066409999999998</v>
      </c>
      <c r="C90" s="4">
        <v>818</v>
      </c>
      <c r="D90" s="4" t="s">
        <v>34</v>
      </c>
      <c r="E90" s="4" t="s">
        <v>34</v>
      </c>
      <c r="F90" s="4" t="s">
        <v>34</v>
      </c>
      <c r="G90">
        <f t="shared" si="1"/>
        <v>22.80562347188264</v>
      </c>
    </row>
    <row r="91" spans="1:7" x14ac:dyDescent="0.2">
      <c r="A91" s="8">
        <v>0.60297453703703707</v>
      </c>
      <c r="B91" s="6">
        <v>47.5625</v>
      </c>
      <c r="C91" s="4">
        <v>819</v>
      </c>
      <c r="D91" s="4" t="s">
        <v>34</v>
      </c>
      <c r="E91" s="4" t="s">
        <v>34</v>
      </c>
      <c r="F91" s="4" t="s">
        <v>34</v>
      </c>
      <c r="G91">
        <f t="shared" si="1"/>
        <v>22.666666666666668</v>
      </c>
    </row>
    <row r="92" spans="1:7" x14ac:dyDescent="0.2">
      <c r="A92" s="8">
        <v>0.60298611111111111</v>
      </c>
      <c r="B92" s="6">
        <v>48.085940000000001</v>
      </c>
      <c r="C92" s="4">
        <v>817</v>
      </c>
      <c r="D92" s="4" t="s">
        <v>35</v>
      </c>
      <c r="E92" s="9">
        <v>0.64</v>
      </c>
      <c r="F92" s="4" t="s">
        <v>25</v>
      </c>
      <c r="G92">
        <f t="shared" si="1"/>
        <v>22.944920440636476</v>
      </c>
    </row>
    <row r="93" spans="1:7" x14ac:dyDescent="0.2">
      <c r="A93" s="8">
        <v>0.60298611111111111</v>
      </c>
      <c r="B93" s="6">
        <v>48.601559999999999</v>
      </c>
      <c r="C93" s="4">
        <v>818</v>
      </c>
      <c r="D93" s="4" t="s">
        <v>34</v>
      </c>
      <c r="E93" s="4" t="s">
        <v>34</v>
      </c>
      <c r="F93" s="4" t="s">
        <v>34</v>
      </c>
      <c r="G93">
        <f t="shared" si="1"/>
        <v>22.80562347188264</v>
      </c>
    </row>
    <row r="94" spans="1:7" x14ac:dyDescent="0.2">
      <c r="A94" s="8">
        <v>0.60299768518518515</v>
      </c>
      <c r="B94" s="6">
        <v>49.113280000000003</v>
      </c>
      <c r="C94" s="4">
        <v>818</v>
      </c>
      <c r="D94" s="4" t="s">
        <v>34</v>
      </c>
      <c r="E94" s="4" t="s">
        <v>34</v>
      </c>
      <c r="F94" s="4" t="s">
        <v>34</v>
      </c>
      <c r="G94">
        <f t="shared" si="1"/>
        <v>22.80562347188264</v>
      </c>
    </row>
    <row r="95" spans="1:7" x14ac:dyDescent="0.2">
      <c r="A95" s="8">
        <v>0.60299768518518515</v>
      </c>
      <c r="B95" s="6">
        <v>49.609380000000002</v>
      </c>
      <c r="C95" s="4">
        <v>818</v>
      </c>
      <c r="D95" s="4" t="s">
        <v>34</v>
      </c>
      <c r="E95" s="4" t="s">
        <v>34</v>
      </c>
      <c r="F95" s="4" t="s">
        <v>34</v>
      </c>
      <c r="G95">
        <f t="shared" si="1"/>
        <v>22.80562347188264</v>
      </c>
    </row>
    <row r="96" spans="1:7" x14ac:dyDescent="0.2">
      <c r="A96" s="8">
        <v>0.6030092592592593</v>
      </c>
      <c r="B96" s="6">
        <v>50.117190000000001</v>
      </c>
      <c r="C96" s="4">
        <v>818</v>
      </c>
      <c r="D96" s="4" t="s">
        <v>34</v>
      </c>
      <c r="E96" s="4" t="s">
        <v>34</v>
      </c>
      <c r="F96" s="4" t="s">
        <v>34</v>
      </c>
      <c r="G96">
        <f t="shared" si="1"/>
        <v>22.80562347188264</v>
      </c>
    </row>
    <row r="97" spans="1:7" x14ac:dyDescent="0.2">
      <c r="A97" s="8">
        <v>0.6030092592592593</v>
      </c>
      <c r="B97" s="6">
        <v>50.628909999999998</v>
      </c>
      <c r="C97" s="4">
        <v>818</v>
      </c>
      <c r="D97" s="4" t="s">
        <v>35</v>
      </c>
      <c r="E97" s="9">
        <v>0.64</v>
      </c>
      <c r="F97" s="4" t="s">
        <v>25</v>
      </c>
      <c r="G97">
        <f t="shared" si="1"/>
        <v>22.80562347188264</v>
      </c>
    </row>
    <row r="98" spans="1:7" x14ac:dyDescent="0.2">
      <c r="A98" s="8">
        <v>0.60302083333333334</v>
      </c>
      <c r="B98" s="6">
        <v>51.15625</v>
      </c>
      <c r="C98" s="4">
        <v>817</v>
      </c>
      <c r="D98" s="4" t="s">
        <v>34</v>
      </c>
      <c r="E98" s="4" t="s">
        <v>34</v>
      </c>
      <c r="F98" s="4" t="s">
        <v>34</v>
      </c>
      <c r="G98">
        <f t="shared" si="1"/>
        <v>22.944920440636476</v>
      </c>
    </row>
    <row r="99" spans="1:7" x14ac:dyDescent="0.2">
      <c r="A99" s="8">
        <v>0.60302083333333334</v>
      </c>
      <c r="B99" s="6">
        <v>51.65625</v>
      </c>
      <c r="C99" s="4">
        <v>817</v>
      </c>
      <c r="D99" s="4" t="s">
        <v>34</v>
      </c>
      <c r="E99" s="4" t="s">
        <v>34</v>
      </c>
      <c r="F99" s="4" t="s">
        <v>34</v>
      </c>
      <c r="G99">
        <f t="shared" si="1"/>
        <v>22.944920440636476</v>
      </c>
    </row>
    <row r="100" spans="1:7" x14ac:dyDescent="0.2">
      <c r="A100" s="8">
        <v>0.60303240740740738</v>
      </c>
      <c r="B100" s="6">
        <v>52.148440000000001</v>
      </c>
      <c r="C100" s="4">
        <v>817</v>
      </c>
      <c r="D100" s="4" t="s">
        <v>34</v>
      </c>
      <c r="E100" s="4" t="s">
        <v>34</v>
      </c>
      <c r="F100" s="4" t="s">
        <v>34</v>
      </c>
      <c r="G100">
        <f t="shared" si="1"/>
        <v>22.944920440636476</v>
      </c>
    </row>
    <row r="101" spans="1:7" x14ac:dyDescent="0.2">
      <c r="A101" s="8">
        <v>0.60303240740740738</v>
      </c>
      <c r="B101" s="6">
        <v>52.660159999999998</v>
      </c>
      <c r="C101" s="4">
        <v>818</v>
      </c>
      <c r="D101" s="4" t="s">
        <v>34</v>
      </c>
      <c r="E101" s="4" t="s">
        <v>34</v>
      </c>
      <c r="F101" s="4" t="s">
        <v>34</v>
      </c>
      <c r="G101">
        <f t="shared" si="1"/>
        <v>22.80562347188264</v>
      </c>
    </row>
    <row r="102" spans="1:7" x14ac:dyDescent="0.2">
      <c r="A102" s="8">
        <v>0.60304398148148153</v>
      </c>
      <c r="B102" s="6">
        <v>53.183590000000002</v>
      </c>
      <c r="C102" s="4">
        <v>819</v>
      </c>
      <c r="D102" s="4" t="s">
        <v>35</v>
      </c>
      <c r="E102" s="9">
        <v>0.64</v>
      </c>
      <c r="F102" s="4" t="s">
        <v>25</v>
      </c>
      <c r="G102">
        <f t="shared" si="1"/>
        <v>22.666666666666668</v>
      </c>
    </row>
    <row r="103" spans="1:7" x14ac:dyDescent="0.2">
      <c r="A103" s="8">
        <v>0.60305555555555557</v>
      </c>
      <c r="B103" s="6">
        <v>53.703130000000002</v>
      </c>
      <c r="C103" s="4">
        <v>818</v>
      </c>
      <c r="D103" s="4" t="s">
        <v>34</v>
      </c>
      <c r="E103" s="4" t="s">
        <v>34</v>
      </c>
      <c r="F103" s="4" t="s">
        <v>34</v>
      </c>
      <c r="G103">
        <f t="shared" si="1"/>
        <v>22.80562347188264</v>
      </c>
    </row>
    <row r="104" spans="1:7" x14ac:dyDescent="0.2">
      <c r="A104" s="8">
        <v>0.60305555555555557</v>
      </c>
      <c r="B104" s="6">
        <v>54.203130000000002</v>
      </c>
      <c r="C104" s="4">
        <v>818</v>
      </c>
      <c r="D104" s="4" t="s">
        <v>34</v>
      </c>
      <c r="E104" s="4" t="s">
        <v>34</v>
      </c>
      <c r="F104" s="4" t="s">
        <v>34</v>
      </c>
      <c r="G104">
        <f t="shared" si="1"/>
        <v>22.80562347188264</v>
      </c>
    </row>
    <row r="105" spans="1:7" x14ac:dyDescent="0.2">
      <c r="A105" s="8">
        <v>0.60306712962962961</v>
      </c>
      <c r="B105" s="6">
        <v>54.695309999999999</v>
      </c>
      <c r="C105" s="4">
        <v>819</v>
      </c>
      <c r="D105" s="4" t="s">
        <v>34</v>
      </c>
      <c r="E105" s="4" t="s">
        <v>34</v>
      </c>
      <c r="F105" s="4" t="s">
        <v>34</v>
      </c>
      <c r="G105">
        <f t="shared" si="1"/>
        <v>22.666666666666668</v>
      </c>
    </row>
    <row r="106" spans="1:7" x14ac:dyDescent="0.2">
      <c r="A106" s="8">
        <v>0.60306712962962961</v>
      </c>
      <c r="B106" s="6">
        <v>55.195309999999999</v>
      </c>
      <c r="C106" s="4">
        <v>818</v>
      </c>
      <c r="D106" s="4" t="s">
        <v>34</v>
      </c>
      <c r="E106" s="4" t="s">
        <v>34</v>
      </c>
      <c r="F106" s="4" t="s">
        <v>34</v>
      </c>
      <c r="G106">
        <f t="shared" si="1"/>
        <v>22.80562347188264</v>
      </c>
    </row>
    <row r="107" spans="1:7" x14ac:dyDescent="0.2">
      <c r="A107" s="8">
        <v>0.60307870370370376</v>
      </c>
      <c r="B107" s="6">
        <v>55.714840000000002</v>
      </c>
      <c r="C107" s="4">
        <v>819</v>
      </c>
      <c r="D107" s="4" t="s">
        <v>35</v>
      </c>
      <c r="E107" s="9">
        <v>0.64</v>
      </c>
      <c r="F107" s="4" t="s">
        <v>25</v>
      </c>
      <c r="G107">
        <f t="shared" si="1"/>
        <v>22.666666666666668</v>
      </c>
    </row>
    <row r="108" spans="1:7" x14ac:dyDescent="0.2">
      <c r="A108" s="8">
        <v>0.60307870370370376</v>
      </c>
      <c r="B108" s="6">
        <v>56.238280000000003</v>
      </c>
      <c r="C108" s="4">
        <v>818</v>
      </c>
      <c r="D108" s="4" t="s">
        <v>34</v>
      </c>
      <c r="E108" s="4" t="s">
        <v>34</v>
      </c>
      <c r="F108" s="4" t="s">
        <v>34</v>
      </c>
      <c r="G108">
        <f t="shared" si="1"/>
        <v>22.80562347188264</v>
      </c>
    </row>
    <row r="109" spans="1:7" x14ac:dyDescent="0.2">
      <c r="A109" s="8">
        <v>0.60309027777777779</v>
      </c>
      <c r="B109" s="6">
        <v>56.738280000000003</v>
      </c>
      <c r="C109" s="4">
        <v>817</v>
      </c>
      <c r="D109" s="4" t="s">
        <v>34</v>
      </c>
      <c r="E109" s="4" t="s">
        <v>34</v>
      </c>
      <c r="F109" s="4" t="s">
        <v>34</v>
      </c>
      <c r="G109">
        <f t="shared" si="1"/>
        <v>22.944920440636476</v>
      </c>
    </row>
    <row r="110" spans="1:7" x14ac:dyDescent="0.2">
      <c r="A110" s="8">
        <v>0.60309027777777779</v>
      </c>
      <c r="B110" s="6">
        <v>57.242190000000001</v>
      </c>
      <c r="C110" s="4">
        <v>817</v>
      </c>
      <c r="D110" s="4" t="s">
        <v>34</v>
      </c>
      <c r="E110" s="4" t="s">
        <v>34</v>
      </c>
      <c r="F110" s="4" t="s">
        <v>34</v>
      </c>
      <c r="G110">
        <f t="shared" si="1"/>
        <v>22.944920440636476</v>
      </c>
    </row>
    <row r="111" spans="1:7" x14ac:dyDescent="0.2">
      <c r="A111" s="8">
        <v>0.60310185185185183</v>
      </c>
      <c r="B111" s="6">
        <v>57.746090000000002</v>
      </c>
      <c r="C111" s="4">
        <v>817</v>
      </c>
      <c r="D111" s="4" t="s">
        <v>34</v>
      </c>
      <c r="E111" s="4" t="s">
        <v>34</v>
      </c>
      <c r="F111" s="4" t="s">
        <v>34</v>
      </c>
      <c r="G111">
        <f t="shared" si="1"/>
        <v>22.944920440636476</v>
      </c>
    </row>
    <row r="112" spans="1:7" x14ac:dyDescent="0.2">
      <c r="A112" s="8">
        <v>0.60310185185185183</v>
      </c>
      <c r="B112" s="6">
        <v>58.265630000000002</v>
      </c>
      <c r="C112" s="4">
        <v>820</v>
      </c>
      <c r="D112" s="4" t="s">
        <v>35</v>
      </c>
      <c r="E112" s="9">
        <v>0.64</v>
      </c>
      <c r="F112" s="4" t="s">
        <v>25</v>
      </c>
      <c r="G112">
        <f t="shared" si="1"/>
        <v>22.528048780487804</v>
      </c>
    </row>
    <row r="113" spans="1:7" x14ac:dyDescent="0.2">
      <c r="A113" s="8">
        <v>0.60311342592592587</v>
      </c>
      <c r="B113" s="6">
        <v>58.792969999999997</v>
      </c>
      <c r="C113" s="4">
        <v>819</v>
      </c>
      <c r="D113" s="4" t="s">
        <v>34</v>
      </c>
      <c r="E113" s="4" t="s">
        <v>34</v>
      </c>
      <c r="F113" s="4" t="s">
        <v>34</v>
      </c>
      <c r="G113">
        <f t="shared" si="1"/>
        <v>22.666666666666668</v>
      </c>
    </row>
    <row r="114" spans="1:7" x14ac:dyDescent="0.2">
      <c r="A114" s="8">
        <v>0.60311342592592587</v>
      </c>
      <c r="B114" s="6">
        <v>59.289059999999999</v>
      </c>
      <c r="C114" s="4">
        <v>819</v>
      </c>
      <c r="D114" s="4" t="s">
        <v>34</v>
      </c>
      <c r="E114" s="4" t="s">
        <v>34</v>
      </c>
      <c r="F114" s="4" t="s">
        <v>34</v>
      </c>
      <c r="G114">
        <f t="shared" si="1"/>
        <v>22.666666666666668</v>
      </c>
    </row>
    <row r="115" spans="1:7" x14ac:dyDescent="0.2">
      <c r="A115" s="8">
        <v>0.60312500000000002</v>
      </c>
      <c r="B115" s="6">
        <v>59.789059999999999</v>
      </c>
      <c r="C115" s="4">
        <v>818</v>
      </c>
      <c r="D115" s="4" t="s">
        <v>34</v>
      </c>
      <c r="E115" s="4" t="s">
        <v>34</v>
      </c>
      <c r="F115" s="4" t="s">
        <v>34</v>
      </c>
      <c r="G115">
        <f t="shared" si="1"/>
        <v>22.80562347188264</v>
      </c>
    </row>
    <row r="116" spans="1:7" x14ac:dyDescent="0.2">
      <c r="A116" s="8">
        <v>0.60312500000000002</v>
      </c>
      <c r="B116" s="6">
        <v>60.289059999999999</v>
      </c>
      <c r="C116" s="4">
        <v>818</v>
      </c>
      <c r="D116" s="4" t="s">
        <v>34</v>
      </c>
      <c r="E116" s="4" t="s">
        <v>34</v>
      </c>
      <c r="F116" s="4" t="s">
        <v>34</v>
      </c>
      <c r="G116">
        <f t="shared" si="1"/>
        <v>22.80562347188264</v>
      </c>
    </row>
    <row r="117" spans="1:7" x14ac:dyDescent="0.2">
      <c r="A117" s="8">
        <v>0.60313657407407406</v>
      </c>
      <c r="B117" s="6">
        <v>60.820309999999999</v>
      </c>
      <c r="C117" s="4">
        <v>817</v>
      </c>
      <c r="D117" s="4" t="s">
        <v>35</v>
      </c>
      <c r="E117" s="9">
        <v>0.64</v>
      </c>
      <c r="F117" s="4" t="s">
        <v>25</v>
      </c>
      <c r="G117">
        <f t="shared" si="1"/>
        <v>22.944920440636476</v>
      </c>
    </row>
    <row r="118" spans="1:7" x14ac:dyDescent="0.2">
      <c r="A118" s="8">
        <v>0.60313657407407406</v>
      </c>
      <c r="B118" s="6">
        <v>61.332030000000003</v>
      </c>
      <c r="C118" s="4">
        <v>817</v>
      </c>
      <c r="D118" s="4" t="s">
        <v>34</v>
      </c>
      <c r="E118" s="4" t="s">
        <v>34</v>
      </c>
      <c r="F118" s="4" t="s">
        <v>34</v>
      </c>
      <c r="G118">
        <f t="shared" si="1"/>
        <v>22.944920440636476</v>
      </c>
    </row>
    <row r="119" spans="1:7" x14ac:dyDescent="0.2">
      <c r="A119" s="8">
        <v>0.6031481481481481</v>
      </c>
      <c r="B119" s="6">
        <v>61.824219999999997</v>
      </c>
      <c r="C119" s="4">
        <v>817</v>
      </c>
      <c r="D119" s="4" t="s">
        <v>34</v>
      </c>
      <c r="E119" s="4" t="s">
        <v>34</v>
      </c>
      <c r="F119" s="4" t="s">
        <v>34</v>
      </c>
      <c r="G119">
        <f t="shared" si="1"/>
        <v>22.944920440636476</v>
      </c>
    </row>
    <row r="120" spans="1:7" x14ac:dyDescent="0.2">
      <c r="A120" s="8">
        <v>0.6031481481481481</v>
      </c>
      <c r="B120" s="6">
        <v>62.324219999999997</v>
      </c>
      <c r="C120" s="4">
        <v>818</v>
      </c>
      <c r="D120" s="4" t="s">
        <v>34</v>
      </c>
      <c r="E120" s="4" t="s">
        <v>34</v>
      </c>
      <c r="F120" s="4" t="s">
        <v>34</v>
      </c>
      <c r="G120">
        <f t="shared" si="1"/>
        <v>22.80562347188264</v>
      </c>
    </row>
    <row r="121" spans="1:7" x14ac:dyDescent="0.2">
      <c r="A121" s="8">
        <v>0.60315972222222225</v>
      </c>
      <c r="B121" s="6">
        <v>62.832030000000003</v>
      </c>
      <c r="C121" s="4">
        <v>817</v>
      </c>
      <c r="D121" s="4" t="s">
        <v>34</v>
      </c>
      <c r="E121" s="4" t="s">
        <v>34</v>
      </c>
      <c r="F121" s="4" t="s">
        <v>34</v>
      </c>
      <c r="G121">
        <f t="shared" si="1"/>
        <v>22.944920440636476</v>
      </c>
    </row>
    <row r="122" spans="1:7" x14ac:dyDescent="0.2">
      <c r="A122" s="8">
        <v>0.60315972222222225</v>
      </c>
      <c r="B122" s="6">
        <v>63.351559999999999</v>
      </c>
      <c r="C122" s="4">
        <v>819</v>
      </c>
      <c r="D122" s="4" t="s">
        <v>35</v>
      </c>
      <c r="E122" s="9">
        <v>0.64</v>
      </c>
      <c r="F122" s="4" t="s">
        <v>25</v>
      </c>
      <c r="G122">
        <f t="shared" si="1"/>
        <v>22.666666666666668</v>
      </c>
    </row>
    <row r="123" spans="1:7" x14ac:dyDescent="0.2">
      <c r="A123" s="8">
        <v>0.60317129629629629</v>
      </c>
      <c r="B123" s="6">
        <v>63.878909999999998</v>
      </c>
      <c r="C123" s="4">
        <v>817</v>
      </c>
      <c r="D123" s="4" t="s">
        <v>34</v>
      </c>
      <c r="E123" s="4" t="s">
        <v>34</v>
      </c>
      <c r="F123" s="4" t="s">
        <v>34</v>
      </c>
      <c r="G123">
        <f t="shared" si="1"/>
        <v>22.944920440636476</v>
      </c>
    </row>
    <row r="124" spans="1:7" x14ac:dyDescent="0.2">
      <c r="A124" s="8">
        <v>0.60317129629629629</v>
      </c>
      <c r="B124" s="6">
        <v>64.375</v>
      </c>
      <c r="C124" s="4">
        <v>818</v>
      </c>
      <c r="D124" s="4" t="s">
        <v>34</v>
      </c>
      <c r="E124" s="4" t="s">
        <v>34</v>
      </c>
      <c r="F124" s="4" t="s">
        <v>34</v>
      </c>
      <c r="G124">
        <f t="shared" si="1"/>
        <v>22.80562347188264</v>
      </c>
    </row>
    <row r="125" spans="1:7" x14ac:dyDescent="0.2">
      <c r="A125" s="8">
        <v>0.60318287037037033</v>
      </c>
      <c r="B125" s="6">
        <v>64.875</v>
      </c>
      <c r="C125" s="4">
        <v>818</v>
      </c>
      <c r="D125" s="4" t="s">
        <v>34</v>
      </c>
      <c r="E125" s="4" t="s">
        <v>34</v>
      </c>
      <c r="F125" s="4" t="s">
        <v>34</v>
      </c>
      <c r="G125">
        <f t="shared" si="1"/>
        <v>22.80562347188264</v>
      </c>
    </row>
    <row r="126" spans="1:7" x14ac:dyDescent="0.2">
      <c r="A126" s="8">
        <v>0.60318287037037033</v>
      </c>
      <c r="B126" s="6">
        <v>65.367189999999994</v>
      </c>
      <c r="C126" s="4">
        <v>818</v>
      </c>
      <c r="D126" s="4" t="s">
        <v>34</v>
      </c>
      <c r="E126" s="4" t="s">
        <v>34</v>
      </c>
      <c r="F126" s="4" t="s">
        <v>34</v>
      </c>
      <c r="G126">
        <f t="shared" si="1"/>
        <v>22.80562347188264</v>
      </c>
    </row>
    <row r="127" spans="1:7" x14ac:dyDescent="0.2">
      <c r="A127" s="8">
        <v>0.60319444444444448</v>
      </c>
      <c r="B127" s="6">
        <v>65.902339999999995</v>
      </c>
      <c r="C127" s="4">
        <v>818</v>
      </c>
      <c r="D127" s="4" t="s">
        <v>35</v>
      </c>
      <c r="E127" s="9">
        <v>0.64</v>
      </c>
      <c r="F127" s="4" t="s">
        <v>25</v>
      </c>
      <c r="G127">
        <f t="shared" si="1"/>
        <v>22.80562347188264</v>
      </c>
    </row>
    <row r="128" spans="1:7" x14ac:dyDescent="0.2">
      <c r="A128" s="8">
        <v>0.60319444444444448</v>
      </c>
      <c r="B128" s="6">
        <v>66.417969999999997</v>
      </c>
      <c r="C128" s="4">
        <v>820</v>
      </c>
      <c r="D128" s="4" t="s">
        <v>34</v>
      </c>
      <c r="E128" s="4" t="s">
        <v>34</v>
      </c>
      <c r="F128" s="4" t="s">
        <v>34</v>
      </c>
      <c r="G128">
        <f t="shared" si="1"/>
        <v>22.528048780487804</v>
      </c>
    </row>
    <row r="129" spans="1:7" x14ac:dyDescent="0.2">
      <c r="A129" s="8">
        <v>0.60320601851851852</v>
      </c>
      <c r="B129" s="6">
        <v>66.90625</v>
      </c>
      <c r="C129" s="4">
        <v>817</v>
      </c>
      <c r="D129" s="4" t="s">
        <v>34</v>
      </c>
      <c r="E129" s="4" t="s">
        <v>34</v>
      </c>
      <c r="F129" s="4" t="s">
        <v>34</v>
      </c>
      <c r="G129">
        <f t="shared" si="1"/>
        <v>22.944920440636476</v>
      </c>
    </row>
    <row r="130" spans="1:7" x14ac:dyDescent="0.2">
      <c r="A130" s="8">
        <v>0.60320601851851852</v>
      </c>
      <c r="B130" s="6">
        <v>67.417969999999997</v>
      </c>
      <c r="C130" s="4">
        <v>817</v>
      </c>
      <c r="D130" s="4" t="s">
        <v>34</v>
      </c>
      <c r="E130" s="4" t="s">
        <v>34</v>
      </c>
      <c r="F130" s="4" t="s">
        <v>34</v>
      </c>
      <c r="G130">
        <f t="shared" si="1"/>
        <v>22.944920440636476</v>
      </c>
    </row>
    <row r="131" spans="1:7" x14ac:dyDescent="0.2">
      <c r="A131" s="8">
        <v>0.60321759259259256</v>
      </c>
      <c r="B131" s="6">
        <v>67.914060000000006</v>
      </c>
      <c r="C131" s="4">
        <v>817</v>
      </c>
      <c r="D131" s="4" t="s">
        <v>34</v>
      </c>
      <c r="E131" s="4" t="s">
        <v>34</v>
      </c>
      <c r="F131" s="4" t="s">
        <v>34</v>
      </c>
      <c r="G131">
        <f t="shared" ref="G131:G194" si="2">91*(1023-C131)/C131</f>
        <v>22.944920440636476</v>
      </c>
    </row>
    <row r="132" spans="1:7" x14ac:dyDescent="0.2">
      <c r="A132" s="8">
        <v>0.60321759259259256</v>
      </c>
      <c r="B132" s="6">
        <v>68.429689999999994</v>
      </c>
      <c r="C132" s="4">
        <v>819</v>
      </c>
      <c r="D132" s="4" t="s">
        <v>26</v>
      </c>
      <c r="E132" s="4" t="s">
        <v>26</v>
      </c>
      <c r="F132" s="4">
        <v>21</v>
      </c>
      <c r="G132">
        <f t="shared" si="2"/>
        <v>22.666666666666668</v>
      </c>
    </row>
    <row r="133" spans="1:7" x14ac:dyDescent="0.2">
      <c r="A133" s="8">
        <v>0.60322916666666671</v>
      </c>
      <c r="B133" s="6">
        <v>68.960939999999994</v>
      </c>
      <c r="C133" s="4">
        <v>819</v>
      </c>
      <c r="D133" s="4" t="s">
        <v>26</v>
      </c>
      <c r="E133" s="4" t="s">
        <v>26</v>
      </c>
      <c r="F133" s="4">
        <v>4112</v>
      </c>
      <c r="G133">
        <f t="shared" si="2"/>
        <v>22.666666666666668</v>
      </c>
    </row>
    <row r="134" spans="1:7" x14ac:dyDescent="0.2">
      <c r="A134" s="8">
        <v>0.60322916666666671</v>
      </c>
      <c r="B134" s="6">
        <v>69.46875</v>
      </c>
      <c r="C134" s="4">
        <v>818</v>
      </c>
      <c r="D134" s="4" t="s">
        <v>26</v>
      </c>
      <c r="E134" s="4" t="s">
        <v>26</v>
      </c>
      <c r="F134" s="4">
        <v>3088</v>
      </c>
      <c r="G134">
        <f t="shared" si="2"/>
        <v>22.80562347188264</v>
      </c>
    </row>
    <row r="135" spans="1:7" x14ac:dyDescent="0.2">
      <c r="A135" s="8">
        <v>0.60324074074074074</v>
      </c>
      <c r="B135" s="6">
        <v>70.015630000000002</v>
      </c>
      <c r="C135" s="4">
        <v>819</v>
      </c>
      <c r="D135" s="4" t="s">
        <v>35</v>
      </c>
      <c r="E135" s="9">
        <v>0.64</v>
      </c>
      <c r="F135" s="4" t="s">
        <v>25</v>
      </c>
      <c r="G135">
        <f t="shared" si="2"/>
        <v>22.666666666666668</v>
      </c>
    </row>
    <row r="136" spans="1:7" x14ac:dyDescent="0.2">
      <c r="A136" s="8">
        <v>0.60324074074074074</v>
      </c>
      <c r="B136" s="6">
        <v>70.53125</v>
      </c>
      <c r="C136" s="4">
        <v>819</v>
      </c>
      <c r="D136" s="4" t="s">
        <v>34</v>
      </c>
      <c r="E136" s="4" t="s">
        <v>34</v>
      </c>
      <c r="F136" s="4" t="s">
        <v>34</v>
      </c>
      <c r="G136">
        <f t="shared" si="2"/>
        <v>22.666666666666668</v>
      </c>
    </row>
    <row r="137" spans="1:7" x14ac:dyDescent="0.2">
      <c r="A137" s="8">
        <v>0.60325231481481478</v>
      </c>
      <c r="B137" s="6">
        <v>71.03125</v>
      </c>
      <c r="C137" s="4">
        <v>818</v>
      </c>
      <c r="D137" s="4" t="s">
        <v>34</v>
      </c>
      <c r="E137" s="4" t="s">
        <v>34</v>
      </c>
      <c r="F137" s="4" t="s">
        <v>34</v>
      </c>
      <c r="G137">
        <f t="shared" si="2"/>
        <v>22.80562347188264</v>
      </c>
    </row>
    <row r="138" spans="1:7" x14ac:dyDescent="0.2">
      <c r="A138" s="8">
        <v>0.60325231481481478</v>
      </c>
      <c r="B138" s="6">
        <v>71.535160000000005</v>
      </c>
      <c r="C138" s="4">
        <v>818</v>
      </c>
      <c r="D138" s="4" t="s">
        <v>34</v>
      </c>
      <c r="E138" s="4" t="s">
        <v>34</v>
      </c>
      <c r="F138" s="4" t="s">
        <v>34</v>
      </c>
      <c r="G138">
        <f t="shared" si="2"/>
        <v>22.80562347188264</v>
      </c>
    </row>
    <row r="139" spans="1:7" x14ac:dyDescent="0.2">
      <c r="A139" s="8">
        <v>0.60326388888888893</v>
      </c>
      <c r="B139" s="6">
        <v>72.035160000000005</v>
      </c>
      <c r="C139" s="4">
        <v>817</v>
      </c>
      <c r="D139" s="4" t="s">
        <v>34</v>
      </c>
      <c r="E139" s="4" t="s">
        <v>34</v>
      </c>
      <c r="F139" s="4" t="s">
        <v>34</v>
      </c>
      <c r="G139">
        <f t="shared" si="2"/>
        <v>22.944920440636476</v>
      </c>
    </row>
    <row r="140" spans="1:7" x14ac:dyDescent="0.2">
      <c r="A140" s="8">
        <v>0.60326388888888893</v>
      </c>
      <c r="B140" s="6">
        <v>72.550780000000003</v>
      </c>
      <c r="C140" s="4">
        <v>817</v>
      </c>
      <c r="D140" s="4" t="s">
        <v>26</v>
      </c>
      <c r="E140" s="4" t="s">
        <v>26</v>
      </c>
      <c r="F140" s="4">
        <v>21</v>
      </c>
      <c r="G140">
        <f t="shared" si="2"/>
        <v>22.944920440636476</v>
      </c>
    </row>
    <row r="141" spans="1:7" x14ac:dyDescent="0.2">
      <c r="A141" s="8">
        <v>0.60327546296296297</v>
      </c>
      <c r="B141" s="6">
        <v>73.082030000000003</v>
      </c>
      <c r="C141" s="4">
        <v>818</v>
      </c>
      <c r="D141" s="4" t="s">
        <v>26</v>
      </c>
      <c r="E141" s="4" t="s">
        <v>26</v>
      </c>
      <c r="F141" s="4">
        <v>4112</v>
      </c>
      <c r="G141">
        <f t="shared" si="2"/>
        <v>22.80562347188264</v>
      </c>
    </row>
    <row r="142" spans="1:7" x14ac:dyDescent="0.2">
      <c r="A142" s="8">
        <v>0.60327546296296297</v>
      </c>
      <c r="B142" s="6">
        <v>73.597660000000005</v>
      </c>
      <c r="C142" s="4">
        <v>819</v>
      </c>
      <c r="D142" s="4" t="s">
        <v>26</v>
      </c>
      <c r="E142" s="4" t="s">
        <v>26</v>
      </c>
      <c r="F142" s="4">
        <v>3088</v>
      </c>
      <c r="G142">
        <f t="shared" si="2"/>
        <v>22.666666666666668</v>
      </c>
    </row>
    <row r="143" spans="1:7" x14ac:dyDescent="0.2">
      <c r="A143" s="8">
        <v>0.60328703703703701</v>
      </c>
      <c r="B143" s="6">
        <v>74.132810000000006</v>
      </c>
      <c r="C143" s="4">
        <v>818</v>
      </c>
      <c r="D143" s="4" t="s">
        <v>26</v>
      </c>
      <c r="E143" s="4" t="s">
        <v>26</v>
      </c>
      <c r="F143" s="4">
        <v>21</v>
      </c>
      <c r="G143">
        <f t="shared" si="2"/>
        <v>22.80562347188264</v>
      </c>
    </row>
    <row r="144" spans="1:7" x14ac:dyDescent="0.2">
      <c r="A144" s="8">
        <v>0.60328703703703701</v>
      </c>
      <c r="B144" s="6">
        <v>74.660160000000005</v>
      </c>
      <c r="C144" s="4">
        <v>818</v>
      </c>
      <c r="D144" s="4" t="s">
        <v>26</v>
      </c>
      <c r="E144" s="4" t="s">
        <v>26</v>
      </c>
      <c r="F144" s="4">
        <v>4112</v>
      </c>
      <c r="G144">
        <f t="shared" si="2"/>
        <v>22.80562347188264</v>
      </c>
    </row>
    <row r="145" spans="1:7" x14ac:dyDescent="0.2">
      <c r="A145" s="8">
        <v>0.60329861111111116</v>
      </c>
      <c r="B145" s="6">
        <v>75.175780000000003</v>
      </c>
      <c r="C145" s="4">
        <v>819</v>
      </c>
      <c r="D145" s="4" t="s">
        <v>26</v>
      </c>
      <c r="E145" s="4" t="s">
        <v>26</v>
      </c>
      <c r="F145" s="4">
        <v>3088</v>
      </c>
      <c r="G145">
        <f t="shared" si="2"/>
        <v>22.666666666666668</v>
      </c>
    </row>
    <row r="146" spans="1:7" x14ac:dyDescent="0.2">
      <c r="A146" s="8">
        <v>0.6033101851851852</v>
      </c>
      <c r="B146" s="6">
        <v>76.226560000000006</v>
      </c>
      <c r="C146" s="4">
        <v>818</v>
      </c>
      <c r="D146" s="4" t="s">
        <v>26</v>
      </c>
      <c r="E146" s="4" t="s">
        <v>26</v>
      </c>
      <c r="F146" s="4">
        <v>-237</v>
      </c>
      <c r="G146">
        <f t="shared" si="2"/>
        <v>22.80562347188264</v>
      </c>
    </row>
    <row r="147" spans="1:7" x14ac:dyDescent="0.2">
      <c r="A147" s="8">
        <v>0.60332175925925924</v>
      </c>
      <c r="B147" s="6">
        <v>76.738280000000003</v>
      </c>
      <c r="C147" s="4">
        <v>818</v>
      </c>
      <c r="D147" s="4" t="s">
        <v>26</v>
      </c>
      <c r="E147" s="4" t="s">
        <v>26</v>
      </c>
      <c r="F147" s="4">
        <v>4112</v>
      </c>
      <c r="G147">
        <f t="shared" si="2"/>
        <v>22.80562347188264</v>
      </c>
    </row>
    <row r="148" spans="1:7" x14ac:dyDescent="0.2">
      <c r="A148" s="8">
        <v>0.60332175925925924</v>
      </c>
      <c r="B148" s="6">
        <v>77.289060000000006</v>
      </c>
      <c r="C148" s="4">
        <v>818</v>
      </c>
      <c r="D148" s="4" t="s">
        <v>35</v>
      </c>
      <c r="E148" s="9">
        <v>0.64</v>
      </c>
      <c r="F148" s="4" t="s">
        <v>25</v>
      </c>
      <c r="G148">
        <f t="shared" si="2"/>
        <v>22.80562347188264</v>
      </c>
    </row>
    <row r="149" spans="1:7" x14ac:dyDescent="0.2">
      <c r="A149" s="8">
        <v>0.60333333333333339</v>
      </c>
      <c r="B149" s="6">
        <v>77.804689999999994</v>
      </c>
      <c r="C149" s="4">
        <v>818</v>
      </c>
      <c r="D149" s="4" t="s">
        <v>34</v>
      </c>
      <c r="E149" s="4" t="s">
        <v>34</v>
      </c>
      <c r="F149" s="4" t="s">
        <v>34</v>
      </c>
      <c r="G149">
        <f t="shared" si="2"/>
        <v>22.80562347188264</v>
      </c>
    </row>
    <row r="150" spans="1:7" x14ac:dyDescent="0.2">
      <c r="A150" s="8">
        <v>0.60333333333333339</v>
      </c>
      <c r="B150" s="6">
        <v>78.304689999999994</v>
      </c>
      <c r="C150" s="4">
        <v>818</v>
      </c>
      <c r="D150" s="4" t="s">
        <v>34</v>
      </c>
      <c r="E150" s="4" t="s">
        <v>34</v>
      </c>
      <c r="F150" s="4" t="s">
        <v>34</v>
      </c>
      <c r="G150">
        <f t="shared" si="2"/>
        <v>22.80562347188264</v>
      </c>
    </row>
    <row r="151" spans="1:7" x14ac:dyDescent="0.2">
      <c r="A151" s="8">
        <v>0.60334490740740743</v>
      </c>
      <c r="B151" s="6">
        <v>78.804689999999994</v>
      </c>
      <c r="C151" s="4">
        <v>819</v>
      </c>
      <c r="D151" s="4" t="s">
        <v>34</v>
      </c>
      <c r="E151" s="4" t="s">
        <v>34</v>
      </c>
      <c r="F151" s="4" t="s">
        <v>34</v>
      </c>
      <c r="G151">
        <f t="shared" si="2"/>
        <v>22.666666666666668</v>
      </c>
    </row>
    <row r="152" spans="1:7" x14ac:dyDescent="0.2">
      <c r="A152" s="8">
        <v>0.60334490740740743</v>
      </c>
      <c r="B152" s="6">
        <v>79.3125</v>
      </c>
      <c r="C152" s="4">
        <v>819</v>
      </c>
      <c r="D152" s="4" t="s">
        <v>34</v>
      </c>
      <c r="E152" s="4" t="s">
        <v>34</v>
      </c>
      <c r="F152" s="4" t="s">
        <v>34</v>
      </c>
      <c r="G152">
        <f t="shared" si="2"/>
        <v>22.666666666666668</v>
      </c>
    </row>
    <row r="153" spans="1:7" x14ac:dyDescent="0.2">
      <c r="A153" s="8">
        <v>0.60335648148148147</v>
      </c>
      <c r="B153" s="6">
        <v>79.832030000000003</v>
      </c>
      <c r="C153" s="4">
        <v>818</v>
      </c>
      <c r="D153" s="4" t="s">
        <v>35</v>
      </c>
      <c r="E153" s="9">
        <v>0.64</v>
      </c>
      <c r="F153" s="4" t="s">
        <v>25</v>
      </c>
      <c r="G153">
        <f t="shared" si="2"/>
        <v>22.80562347188264</v>
      </c>
    </row>
    <row r="154" spans="1:7" x14ac:dyDescent="0.2">
      <c r="A154" s="8">
        <v>0.60335648148148147</v>
      </c>
      <c r="B154" s="6">
        <v>80.351560000000006</v>
      </c>
      <c r="C154" s="4">
        <v>818</v>
      </c>
      <c r="D154" s="4" t="s">
        <v>34</v>
      </c>
      <c r="E154" s="4" t="s">
        <v>34</v>
      </c>
      <c r="F154" s="4" t="s">
        <v>34</v>
      </c>
      <c r="G154">
        <f t="shared" si="2"/>
        <v>22.80562347188264</v>
      </c>
    </row>
    <row r="155" spans="1:7" x14ac:dyDescent="0.2">
      <c r="A155" s="8">
        <v>0.6033680555555555</v>
      </c>
      <c r="B155" s="6">
        <v>80.847660000000005</v>
      </c>
      <c r="C155" s="4">
        <v>817</v>
      </c>
      <c r="D155" s="4" t="s">
        <v>34</v>
      </c>
      <c r="E155" s="4" t="s">
        <v>34</v>
      </c>
      <c r="F155" s="4" t="s">
        <v>34</v>
      </c>
      <c r="G155">
        <f t="shared" si="2"/>
        <v>22.944920440636476</v>
      </c>
    </row>
    <row r="156" spans="1:7" x14ac:dyDescent="0.2">
      <c r="A156" s="8">
        <v>0.6033680555555555</v>
      </c>
      <c r="B156" s="6">
        <v>81.351560000000006</v>
      </c>
      <c r="C156" s="4">
        <v>817</v>
      </c>
      <c r="D156" s="4" t="s">
        <v>34</v>
      </c>
      <c r="E156" s="4" t="s">
        <v>34</v>
      </c>
      <c r="F156" s="4" t="s">
        <v>34</v>
      </c>
      <c r="G156">
        <f t="shared" si="2"/>
        <v>22.944920440636476</v>
      </c>
    </row>
    <row r="157" spans="1:7" x14ac:dyDescent="0.2">
      <c r="A157" s="8">
        <v>0.60337962962962965</v>
      </c>
      <c r="B157" s="6">
        <v>81.847660000000005</v>
      </c>
      <c r="C157" s="4">
        <v>818</v>
      </c>
      <c r="D157" s="4" t="s">
        <v>34</v>
      </c>
      <c r="E157" s="4" t="s">
        <v>34</v>
      </c>
      <c r="F157" s="4" t="s">
        <v>34</v>
      </c>
      <c r="G157">
        <f t="shared" si="2"/>
        <v>22.80562347188264</v>
      </c>
    </row>
    <row r="158" spans="1:7" x14ac:dyDescent="0.2">
      <c r="A158" s="8">
        <v>0.60337962962962965</v>
      </c>
      <c r="B158" s="6">
        <v>82.378910000000005</v>
      </c>
      <c r="C158" s="4">
        <v>818</v>
      </c>
      <c r="D158" s="4" t="s">
        <v>35</v>
      </c>
      <c r="E158" s="9">
        <v>0.64</v>
      </c>
      <c r="F158" s="4" t="s">
        <v>25</v>
      </c>
      <c r="G158">
        <f t="shared" si="2"/>
        <v>22.80562347188264</v>
      </c>
    </row>
    <row r="159" spans="1:7" x14ac:dyDescent="0.2">
      <c r="A159" s="8">
        <v>0.60339120370370369</v>
      </c>
      <c r="B159" s="6">
        <v>82.890630000000002</v>
      </c>
      <c r="C159" s="4">
        <v>817</v>
      </c>
      <c r="D159" s="4" t="s">
        <v>34</v>
      </c>
      <c r="E159" s="4" t="s">
        <v>34</v>
      </c>
      <c r="F159" s="4" t="s">
        <v>34</v>
      </c>
      <c r="G159">
        <f t="shared" si="2"/>
        <v>22.944920440636476</v>
      </c>
    </row>
    <row r="160" spans="1:7" x14ac:dyDescent="0.2">
      <c r="A160" s="8">
        <v>0.60339120370370369</v>
      </c>
      <c r="B160" s="6">
        <v>83.394530000000003</v>
      </c>
      <c r="C160" s="4">
        <v>818</v>
      </c>
      <c r="D160" s="4" t="s">
        <v>34</v>
      </c>
      <c r="E160" s="4" t="s">
        <v>34</v>
      </c>
      <c r="F160" s="4" t="s">
        <v>34</v>
      </c>
      <c r="G160">
        <f t="shared" si="2"/>
        <v>22.80562347188264</v>
      </c>
    </row>
    <row r="161" spans="1:7" x14ac:dyDescent="0.2">
      <c r="A161" s="8">
        <v>0.60340277777777773</v>
      </c>
      <c r="B161" s="6">
        <v>83.894530000000003</v>
      </c>
      <c r="C161" s="4">
        <v>819</v>
      </c>
      <c r="D161" s="4" t="s">
        <v>34</v>
      </c>
      <c r="E161" s="4" t="s">
        <v>34</v>
      </c>
      <c r="F161" s="4" t="s">
        <v>34</v>
      </c>
      <c r="G161">
        <f t="shared" si="2"/>
        <v>22.666666666666668</v>
      </c>
    </row>
    <row r="162" spans="1:7" x14ac:dyDescent="0.2">
      <c r="A162" s="8">
        <v>0.60340277777777773</v>
      </c>
      <c r="B162" s="6">
        <v>84.394530000000003</v>
      </c>
      <c r="C162" s="4">
        <v>819</v>
      </c>
      <c r="D162" s="4" t="s">
        <v>34</v>
      </c>
      <c r="E162" s="4" t="s">
        <v>34</v>
      </c>
      <c r="F162" s="4" t="s">
        <v>34</v>
      </c>
      <c r="G162">
        <f t="shared" si="2"/>
        <v>22.666666666666668</v>
      </c>
    </row>
    <row r="163" spans="1:7" x14ac:dyDescent="0.2">
      <c r="A163" s="8">
        <v>0.60341435185185188</v>
      </c>
      <c r="B163" s="6">
        <v>84.910160000000005</v>
      </c>
      <c r="C163" s="4">
        <v>820</v>
      </c>
      <c r="D163" s="4" t="s">
        <v>35</v>
      </c>
      <c r="E163" s="9">
        <v>0.64</v>
      </c>
      <c r="F163" s="4" t="s">
        <v>25</v>
      </c>
      <c r="G163">
        <f t="shared" si="2"/>
        <v>22.528048780487804</v>
      </c>
    </row>
    <row r="164" spans="1:7" x14ac:dyDescent="0.2">
      <c r="A164" s="8">
        <v>0.60341435185185188</v>
      </c>
      <c r="B164" s="6">
        <v>85.425780000000003</v>
      </c>
      <c r="C164" s="4">
        <v>819</v>
      </c>
      <c r="D164" s="4" t="s">
        <v>34</v>
      </c>
      <c r="E164" s="4" t="s">
        <v>34</v>
      </c>
      <c r="F164" s="4" t="s">
        <v>34</v>
      </c>
      <c r="G164">
        <f t="shared" si="2"/>
        <v>22.666666666666668</v>
      </c>
    </row>
    <row r="165" spans="1:7" x14ac:dyDescent="0.2">
      <c r="A165" s="8">
        <v>0.60342592592592592</v>
      </c>
      <c r="B165" s="6">
        <v>85.925780000000003</v>
      </c>
      <c r="C165" s="4">
        <v>819</v>
      </c>
      <c r="D165" s="4" t="s">
        <v>34</v>
      </c>
      <c r="E165" s="4" t="s">
        <v>34</v>
      </c>
      <c r="F165" s="4" t="s">
        <v>34</v>
      </c>
      <c r="G165">
        <f t="shared" si="2"/>
        <v>22.666666666666668</v>
      </c>
    </row>
    <row r="166" spans="1:7" x14ac:dyDescent="0.2">
      <c r="A166" s="8">
        <v>0.60342592592592592</v>
      </c>
      <c r="B166" s="6">
        <v>86.425780000000003</v>
      </c>
      <c r="C166" s="4">
        <v>820</v>
      </c>
      <c r="D166" s="4" t="s">
        <v>34</v>
      </c>
      <c r="E166" s="4" t="s">
        <v>34</v>
      </c>
      <c r="F166" s="4" t="s">
        <v>34</v>
      </c>
      <c r="G166">
        <f t="shared" si="2"/>
        <v>22.528048780487804</v>
      </c>
    </row>
    <row r="167" spans="1:7" x14ac:dyDescent="0.2">
      <c r="A167" s="8">
        <v>0.60343749999999996</v>
      </c>
      <c r="B167" s="6">
        <v>86.925780000000003</v>
      </c>
      <c r="C167" s="4">
        <v>819</v>
      </c>
      <c r="D167" s="4" t="s">
        <v>34</v>
      </c>
      <c r="E167" s="4" t="s">
        <v>34</v>
      </c>
      <c r="F167" s="4" t="s">
        <v>34</v>
      </c>
      <c r="G167">
        <f t="shared" si="2"/>
        <v>22.666666666666668</v>
      </c>
    </row>
    <row r="168" spans="1:7" x14ac:dyDescent="0.2">
      <c r="A168" s="8">
        <v>0.60343749999999996</v>
      </c>
      <c r="B168" s="6">
        <v>87.457030000000003</v>
      </c>
      <c r="C168" s="4">
        <v>819</v>
      </c>
      <c r="D168" s="4" t="s">
        <v>35</v>
      </c>
      <c r="E168" s="9">
        <v>0.64</v>
      </c>
      <c r="F168" s="4" t="s">
        <v>25</v>
      </c>
      <c r="G168">
        <f t="shared" si="2"/>
        <v>22.666666666666668</v>
      </c>
    </row>
    <row r="169" spans="1:7" x14ac:dyDescent="0.2">
      <c r="A169" s="8">
        <v>0.60344907407407411</v>
      </c>
      <c r="B169" s="6">
        <v>87.972660000000005</v>
      </c>
      <c r="C169" s="4">
        <v>819</v>
      </c>
      <c r="D169" s="4" t="s">
        <v>34</v>
      </c>
      <c r="E169" s="4" t="s">
        <v>34</v>
      </c>
      <c r="F169" s="4" t="s">
        <v>34</v>
      </c>
      <c r="G169">
        <f t="shared" si="2"/>
        <v>22.666666666666668</v>
      </c>
    </row>
    <row r="170" spans="1:7" x14ac:dyDescent="0.2">
      <c r="A170" s="8">
        <v>0.60344907407407411</v>
      </c>
      <c r="B170" s="6">
        <v>88.472660000000005</v>
      </c>
      <c r="C170" s="4">
        <v>819</v>
      </c>
      <c r="D170" s="4" t="s">
        <v>34</v>
      </c>
      <c r="E170" s="4" t="s">
        <v>34</v>
      </c>
      <c r="F170" s="4" t="s">
        <v>34</v>
      </c>
      <c r="G170">
        <f t="shared" si="2"/>
        <v>22.666666666666668</v>
      </c>
    </row>
    <row r="171" spans="1:7" x14ac:dyDescent="0.2">
      <c r="A171" s="8">
        <v>0.60346064814814815</v>
      </c>
      <c r="B171" s="6">
        <v>88.976560000000006</v>
      </c>
      <c r="C171" s="4">
        <v>820</v>
      </c>
      <c r="D171" s="4" t="s">
        <v>34</v>
      </c>
      <c r="E171" s="4" t="s">
        <v>34</v>
      </c>
      <c r="F171" s="4" t="s">
        <v>34</v>
      </c>
      <c r="G171">
        <f t="shared" si="2"/>
        <v>22.528048780487804</v>
      </c>
    </row>
    <row r="172" spans="1:7" x14ac:dyDescent="0.2">
      <c r="A172" s="8">
        <v>0.60346064814814815</v>
      </c>
      <c r="B172" s="6">
        <v>89.476560000000006</v>
      </c>
      <c r="C172" s="4">
        <v>820</v>
      </c>
      <c r="D172" s="4" t="s">
        <v>34</v>
      </c>
      <c r="E172" s="4" t="s">
        <v>34</v>
      </c>
      <c r="F172" s="4" t="s">
        <v>34</v>
      </c>
      <c r="G172">
        <f t="shared" si="2"/>
        <v>22.528048780487804</v>
      </c>
    </row>
    <row r="173" spans="1:7" x14ac:dyDescent="0.2">
      <c r="A173" s="8">
        <v>0.60347222222222219</v>
      </c>
      <c r="B173" s="6">
        <v>90.007810000000006</v>
      </c>
      <c r="C173" s="4">
        <v>819</v>
      </c>
      <c r="D173" s="4" t="s">
        <v>35</v>
      </c>
      <c r="E173" s="9">
        <v>0.64</v>
      </c>
      <c r="F173" s="4" t="s">
        <v>25</v>
      </c>
      <c r="G173">
        <f t="shared" si="2"/>
        <v>22.666666666666668</v>
      </c>
    </row>
    <row r="174" spans="1:7" x14ac:dyDescent="0.2">
      <c r="A174" s="8">
        <v>0.60347222222222219</v>
      </c>
      <c r="B174" s="6">
        <v>90.511719999999997</v>
      </c>
      <c r="C174" s="4">
        <v>818</v>
      </c>
      <c r="D174" s="4" t="s">
        <v>34</v>
      </c>
      <c r="E174" s="4" t="s">
        <v>34</v>
      </c>
      <c r="F174" s="4" t="s">
        <v>34</v>
      </c>
      <c r="G174">
        <f t="shared" si="2"/>
        <v>22.80562347188264</v>
      </c>
    </row>
    <row r="175" spans="1:7" x14ac:dyDescent="0.2">
      <c r="A175" s="8">
        <v>0.60348379629629634</v>
      </c>
      <c r="B175" s="6">
        <v>91.027339999999995</v>
      </c>
      <c r="C175" s="4">
        <v>819</v>
      </c>
      <c r="D175" s="4" t="s">
        <v>34</v>
      </c>
      <c r="E175" s="4" t="s">
        <v>34</v>
      </c>
      <c r="F175" s="4" t="s">
        <v>34</v>
      </c>
      <c r="G175">
        <f t="shared" si="2"/>
        <v>22.666666666666668</v>
      </c>
    </row>
    <row r="176" spans="1:7" x14ac:dyDescent="0.2">
      <c r="A176" s="8">
        <v>0.60348379629629634</v>
      </c>
      <c r="B176" s="6">
        <v>91.527339999999995</v>
      </c>
      <c r="C176" s="4">
        <v>819</v>
      </c>
      <c r="D176" s="4" t="s">
        <v>34</v>
      </c>
      <c r="E176" s="4" t="s">
        <v>34</v>
      </c>
      <c r="F176" s="4" t="s">
        <v>34</v>
      </c>
      <c r="G176">
        <f t="shared" si="2"/>
        <v>22.666666666666668</v>
      </c>
    </row>
    <row r="177" spans="1:7" x14ac:dyDescent="0.2">
      <c r="A177" s="8">
        <v>0.60349537037037038</v>
      </c>
      <c r="B177" s="6">
        <v>92.027339999999995</v>
      </c>
      <c r="C177" s="4">
        <v>819</v>
      </c>
      <c r="D177" s="4" t="s">
        <v>34</v>
      </c>
      <c r="E177" s="4" t="s">
        <v>34</v>
      </c>
      <c r="F177" s="4" t="s">
        <v>34</v>
      </c>
      <c r="G177">
        <f t="shared" si="2"/>
        <v>22.666666666666668</v>
      </c>
    </row>
    <row r="178" spans="1:7" x14ac:dyDescent="0.2">
      <c r="A178" s="8">
        <v>0.60349537037037038</v>
      </c>
      <c r="B178" s="6">
        <v>92.546880000000002</v>
      </c>
      <c r="C178" s="4">
        <v>819</v>
      </c>
      <c r="D178" s="4" t="s">
        <v>35</v>
      </c>
      <c r="E178" s="9">
        <v>0.64</v>
      </c>
      <c r="F178" s="4" t="s">
        <v>25</v>
      </c>
      <c r="G178">
        <f t="shared" si="2"/>
        <v>22.666666666666668</v>
      </c>
    </row>
    <row r="179" spans="1:7" x14ac:dyDescent="0.2">
      <c r="A179" s="8">
        <v>0.60350694444444442</v>
      </c>
      <c r="B179" s="6">
        <v>93.0625</v>
      </c>
      <c r="C179" s="4">
        <v>819</v>
      </c>
      <c r="D179" s="4" t="s">
        <v>34</v>
      </c>
      <c r="E179" s="4" t="s">
        <v>34</v>
      </c>
      <c r="F179" s="4" t="s">
        <v>34</v>
      </c>
      <c r="G179">
        <f t="shared" si="2"/>
        <v>22.666666666666668</v>
      </c>
    </row>
    <row r="180" spans="1:7" x14ac:dyDescent="0.2">
      <c r="A180" s="8">
        <v>0.60350694444444442</v>
      </c>
      <c r="B180" s="6">
        <v>93.5625</v>
      </c>
      <c r="C180" s="4">
        <v>819</v>
      </c>
      <c r="D180" s="4" t="s">
        <v>34</v>
      </c>
      <c r="E180" s="4" t="s">
        <v>34</v>
      </c>
      <c r="F180" s="4" t="s">
        <v>34</v>
      </c>
      <c r="G180">
        <f t="shared" si="2"/>
        <v>22.666666666666668</v>
      </c>
    </row>
    <row r="181" spans="1:7" x14ac:dyDescent="0.2">
      <c r="A181" s="8">
        <v>0.60351851851851857</v>
      </c>
      <c r="B181" s="6">
        <v>94.0625</v>
      </c>
      <c r="C181" s="4">
        <v>819</v>
      </c>
      <c r="D181" s="4" t="s">
        <v>34</v>
      </c>
      <c r="E181" s="4" t="s">
        <v>34</v>
      </c>
      <c r="F181" s="4" t="s">
        <v>34</v>
      </c>
      <c r="G181">
        <f t="shared" si="2"/>
        <v>22.666666666666668</v>
      </c>
    </row>
    <row r="182" spans="1:7" x14ac:dyDescent="0.2">
      <c r="A182" s="8">
        <v>0.60351851851851857</v>
      </c>
      <c r="B182" s="6">
        <v>94.566410000000005</v>
      </c>
      <c r="C182" s="4">
        <v>820</v>
      </c>
      <c r="D182" s="4" t="s">
        <v>34</v>
      </c>
      <c r="E182" s="4" t="s">
        <v>34</v>
      </c>
      <c r="F182" s="4" t="s">
        <v>34</v>
      </c>
      <c r="G182">
        <f t="shared" si="2"/>
        <v>22.528048780487804</v>
      </c>
    </row>
    <row r="183" spans="1:7" x14ac:dyDescent="0.2">
      <c r="A183" s="8">
        <v>0.6035300925925926</v>
      </c>
      <c r="B183" s="6">
        <v>95.097660000000005</v>
      </c>
      <c r="C183" s="4">
        <v>820</v>
      </c>
      <c r="D183" s="4" t="s">
        <v>35</v>
      </c>
      <c r="E183" s="9">
        <v>0.64</v>
      </c>
      <c r="F183" s="4" t="s">
        <v>25</v>
      </c>
      <c r="G183">
        <f t="shared" si="2"/>
        <v>22.528048780487804</v>
      </c>
    </row>
    <row r="184" spans="1:7" x14ac:dyDescent="0.2">
      <c r="A184" s="8">
        <v>0.6035300925925926</v>
      </c>
      <c r="B184" s="6">
        <v>95.605469999999997</v>
      </c>
      <c r="C184" s="4">
        <v>819</v>
      </c>
      <c r="D184" s="4" t="s">
        <v>34</v>
      </c>
      <c r="E184" s="4" t="s">
        <v>34</v>
      </c>
      <c r="F184" s="4" t="s">
        <v>34</v>
      </c>
      <c r="G184">
        <f t="shared" si="2"/>
        <v>22.666666666666668</v>
      </c>
    </row>
    <row r="185" spans="1:7" x14ac:dyDescent="0.2">
      <c r="A185" s="8">
        <v>0.60354166666666664</v>
      </c>
      <c r="B185" s="6">
        <v>96.109380000000002</v>
      </c>
      <c r="C185" s="4">
        <v>818</v>
      </c>
      <c r="D185" s="4" t="s">
        <v>34</v>
      </c>
      <c r="E185" s="4" t="s">
        <v>34</v>
      </c>
      <c r="F185" s="4" t="s">
        <v>34</v>
      </c>
      <c r="G185">
        <f t="shared" si="2"/>
        <v>22.80562347188264</v>
      </c>
    </row>
    <row r="186" spans="1:7" x14ac:dyDescent="0.2">
      <c r="A186" s="8">
        <v>0.60354166666666664</v>
      </c>
      <c r="B186" s="6">
        <v>96.609380000000002</v>
      </c>
      <c r="C186" s="4">
        <v>819</v>
      </c>
      <c r="D186" s="4" t="s">
        <v>34</v>
      </c>
      <c r="E186" s="4" t="s">
        <v>34</v>
      </c>
      <c r="F186" s="4" t="s">
        <v>34</v>
      </c>
      <c r="G186">
        <f t="shared" si="2"/>
        <v>22.666666666666668</v>
      </c>
    </row>
    <row r="187" spans="1:7" x14ac:dyDescent="0.2">
      <c r="A187" s="8">
        <v>0.60355324074074079</v>
      </c>
      <c r="B187" s="6">
        <v>97.109380000000002</v>
      </c>
      <c r="C187" s="4">
        <v>819</v>
      </c>
      <c r="D187" s="4" t="s">
        <v>34</v>
      </c>
      <c r="E187" s="4" t="s">
        <v>34</v>
      </c>
      <c r="F187" s="4" t="s">
        <v>34</v>
      </c>
      <c r="G187">
        <f t="shared" si="2"/>
        <v>22.666666666666668</v>
      </c>
    </row>
    <row r="188" spans="1:7" x14ac:dyDescent="0.2">
      <c r="A188" s="8">
        <v>0.60355324074074079</v>
      </c>
      <c r="B188" s="6">
        <v>97.628910000000005</v>
      </c>
      <c r="C188" s="4">
        <v>818</v>
      </c>
      <c r="D188" s="4" t="s">
        <v>26</v>
      </c>
      <c r="E188" s="4" t="s">
        <v>26</v>
      </c>
      <c r="F188" s="4">
        <v>21</v>
      </c>
      <c r="G188">
        <f t="shared" si="2"/>
        <v>22.80562347188264</v>
      </c>
    </row>
    <row r="189" spans="1:7" x14ac:dyDescent="0.2">
      <c r="A189" s="8">
        <v>0.60356481481481483</v>
      </c>
      <c r="B189" s="6">
        <v>98.148439999999994</v>
      </c>
      <c r="C189" s="4">
        <v>821</v>
      </c>
      <c r="D189" s="4" t="s">
        <v>26</v>
      </c>
      <c r="E189" s="4" t="s">
        <v>26</v>
      </c>
      <c r="F189" s="4">
        <v>4112</v>
      </c>
      <c r="G189">
        <f t="shared" si="2"/>
        <v>22.389768574908647</v>
      </c>
    </row>
    <row r="190" spans="1:7" x14ac:dyDescent="0.2">
      <c r="A190" s="8">
        <v>0.60356481481481483</v>
      </c>
      <c r="B190" s="6">
        <v>98.664060000000006</v>
      </c>
      <c r="C190" s="4">
        <v>819</v>
      </c>
      <c r="D190" s="4" t="s">
        <v>26</v>
      </c>
      <c r="E190" s="4" t="s">
        <v>26</v>
      </c>
      <c r="F190" s="4">
        <v>4112</v>
      </c>
      <c r="G190">
        <f t="shared" si="2"/>
        <v>22.666666666666668</v>
      </c>
    </row>
    <row r="191" spans="1:7" x14ac:dyDescent="0.2">
      <c r="A191" s="8">
        <v>0.60357638888888887</v>
      </c>
      <c r="B191" s="6">
        <v>99.210939999999994</v>
      </c>
      <c r="C191" s="4">
        <v>819</v>
      </c>
      <c r="D191" s="4" t="s">
        <v>35</v>
      </c>
      <c r="E191" s="9">
        <v>0.64</v>
      </c>
      <c r="F191" s="4" t="s">
        <v>25</v>
      </c>
      <c r="G191">
        <f t="shared" si="2"/>
        <v>22.666666666666668</v>
      </c>
    </row>
    <row r="192" spans="1:7" x14ac:dyDescent="0.2">
      <c r="A192" s="8">
        <v>0.60358796296296291</v>
      </c>
      <c r="B192" s="6">
        <v>99.734380000000002</v>
      </c>
      <c r="C192" s="4">
        <v>817</v>
      </c>
      <c r="D192" s="4" t="s">
        <v>34</v>
      </c>
      <c r="E192" s="4" t="s">
        <v>34</v>
      </c>
      <c r="F192" s="4" t="s">
        <v>34</v>
      </c>
      <c r="G192">
        <f t="shared" si="2"/>
        <v>22.944920440636476</v>
      </c>
    </row>
    <row r="193" spans="1:7" x14ac:dyDescent="0.2">
      <c r="A193" s="8">
        <v>0.60358796296296291</v>
      </c>
      <c r="B193" s="6">
        <v>100.2383</v>
      </c>
      <c r="C193" s="4">
        <v>819</v>
      </c>
      <c r="D193" s="4" t="s">
        <v>34</v>
      </c>
      <c r="E193" s="4" t="s">
        <v>34</v>
      </c>
      <c r="F193" s="4" t="s">
        <v>34</v>
      </c>
      <c r="G193">
        <f t="shared" si="2"/>
        <v>22.666666666666668</v>
      </c>
    </row>
    <row r="194" spans="1:7" x14ac:dyDescent="0.2">
      <c r="A194" s="8">
        <v>0.60359953703703706</v>
      </c>
      <c r="B194" s="6">
        <v>100.7383</v>
      </c>
      <c r="C194" s="4">
        <v>821</v>
      </c>
      <c r="D194" s="4" t="s">
        <v>34</v>
      </c>
      <c r="E194" s="4" t="s">
        <v>34</v>
      </c>
      <c r="F194" s="4" t="s">
        <v>34</v>
      </c>
      <c r="G194">
        <f t="shared" si="2"/>
        <v>22.389768574908647</v>
      </c>
    </row>
    <row r="195" spans="1:7" x14ac:dyDescent="0.2">
      <c r="A195" s="8">
        <v>0.60359953703703706</v>
      </c>
      <c r="B195" s="6">
        <v>101.2266</v>
      </c>
      <c r="C195" s="4">
        <v>819</v>
      </c>
      <c r="D195" s="4" t="s">
        <v>34</v>
      </c>
      <c r="E195" s="4" t="s">
        <v>34</v>
      </c>
      <c r="F195" s="4" t="s">
        <v>34</v>
      </c>
      <c r="G195">
        <f t="shared" ref="G195:G210" si="3">91*(1023-C195)/C195</f>
        <v>22.666666666666668</v>
      </c>
    </row>
    <row r="196" spans="1:7" x14ac:dyDescent="0.2">
      <c r="A196" s="8">
        <v>0.6036111111111111</v>
      </c>
      <c r="B196" s="6">
        <v>101.7539</v>
      </c>
      <c r="C196" s="4">
        <v>820</v>
      </c>
      <c r="D196" s="4" t="s">
        <v>35</v>
      </c>
      <c r="E196" s="9">
        <v>0.64</v>
      </c>
      <c r="F196" s="4" t="s">
        <v>25</v>
      </c>
      <c r="G196">
        <f t="shared" si="3"/>
        <v>22.528048780487804</v>
      </c>
    </row>
    <row r="197" spans="1:7" x14ac:dyDescent="0.2">
      <c r="A197" s="8">
        <v>0.6036111111111111</v>
      </c>
      <c r="B197" s="6">
        <v>102.26949999999999</v>
      </c>
      <c r="C197" s="4">
        <v>820</v>
      </c>
      <c r="D197" s="4" t="s">
        <v>34</v>
      </c>
      <c r="E197" s="4" t="s">
        <v>34</v>
      </c>
      <c r="F197" s="4" t="s">
        <v>34</v>
      </c>
      <c r="G197">
        <f t="shared" si="3"/>
        <v>22.528048780487804</v>
      </c>
    </row>
    <row r="198" spans="1:7" x14ac:dyDescent="0.2">
      <c r="A198" s="8">
        <v>0.60362268518518514</v>
      </c>
      <c r="B198" s="6">
        <v>102.76949999999999</v>
      </c>
      <c r="C198" s="4">
        <v>819</v>
      </c>
      <c r="D198" s="4" t="s">
        <v>34</v>
      </c>
      <c r="E198" s="4" t="s">
        <v>34</v>
      </c>
      <c r="F198" s="4" t="s">
        <v>34</v>
      </c>
      <c r="G198">
        <f t="shared" si="3"/>
        <v>22.666666666666668</v>
      </c>
    </row>
    <row r="199" spans="1:7" x14ac:dyDescent="0.2">
      <c r="A199" s="8">
        <v>0.60362268518518514</v>
      </c>
      <c r="B199" s="6">
        <v>103.2734</v>
      </c>
      <c r="C199" s="4">
        <v>819</v>
      </c>
      <c r="D199" s="4" t="s">
        <v>34</v>
      </c>
      <c r="E199" s="4" t="s">
        <v>34</v>
      </c>
      <c r="F199" s="4" t="s">
        <v>34</v>
      </c>
      <c r="G199">
        <f t="shared" si="3"/>
        <v>22.666666666666668</v>
      </c>
    </row>
    <row r="200" spans="1:7" x14ac:dyDescent="0.2">
      <c r="A200" s="8">
        <v>0.60363425925925929</v>
      </c>
      <c r="B200" s="6">
        <v>103.7734</v>
      </c>
      <c r="C200" s="4">
        <v>819</v>
      </c>
      <c r="D200" s="4" t="s">
        <v>34</v>
      </c>
      <c r="E200" s="4" t="s">
        <v>34</v>
      </c>
      <c r="F200" s="4" t="s">
        <v>34</v>
      </c>
      <c r="G200">
        <f t="shared" si="3"/>
        <v>22.666666666666668</v>
      </c>
    </row>
    <row r="201" spans="1:7" x14ac:dyDescent="0.2">
      <c r="A201" s="8">
        <v>0.60363425925925929</v>
      </c>
      <c r="B201" s="6">
        <v>104.3047</v>
      </c>
      <c r="C201" s="4">
        <v>817</v>
      </c>
      <c r="D201" s="4" t="s">
        <v>35</v>
      </c>
      <c r="E201" s="9">
        <v>0.64</v>
      </c>
      <c r="F201" s="4" t="s">
        <v>25</v>
      </c>
      <c r="G201">
        <f t="shared" si="3"/>
        <v>22.944920440636476</v>
      </c>
    </row>
    <row r="202" spans="1:7" x14ac:dyDescent="0.2">
      <c r="A202" s="8">
        <v>0.60364583333333333</v>
      </c>
      <c r="B202" s="6">
        <v>104.8203</v>
      </c>
      <c r="C202" s="4">
        <v>820</v>
      </c>
      <c r="D202" s="4" t="s">
        <v>34</v>
      </c>
      <c r="E202" s="4" t="s">
        <v>34</v>
      </c>
      <c r="F202" s="4" t="s">
        <v>34</v>
      </c>
      <c r="G202">
        <f t="shared" si="3"/>
        <v>22.528048780487804</v>
      </c>
    </row>
    <row r="203" spans="1:7" x14ac:dyDescent="0.2">
      <c r="A203" s="8">
        <v>0.60364583333333333</v>
      </c>
      <c r="B203" s="6">
        <v>105.3242</v>
      </c>
      <c r="C203" s="4">
        <v>821</v>
      </c>
      <c r="D203" s="4" t="s">
        <v>34</v>
      </c>
      <c r="E203" s="4" t="s">
        <v>34</v>
      </c>
      <c r="F203" s="4" t="s">
        <v>34</v>
      </c>
      <c r="G203">
        <f t="shared" si="3"/>
        <v>22.389768574908647</v>
      </c>
    </row>
    <row r="204" spans="1:7" x14ac:dyDescent="0.2">
      <c r="A204" s="8">
        <v>0.60365740740740736</v>
      </c>
      <c r="B204" s="6">
        <v>105.8242</v>
      </c>
      <c r="C204" s="4">
        <v>820</v>
      </c>
      <c r="D204" s="4" t="s">
        <v>34</v>
      </c>
      <c r="E204" s="4" t="s">
        <v>34</v>
      </c>
      <c r="F204" s="4" t="s">
        <v>34</v>
      </c>
      <c r="G204">
        <f t="shared" si="3"/>
        <v>22.528048780487804</v>
      </c>
    </row>
    <row r="205" spans="1:7" x14ac:dyDescent="0.2">
      <c r="A205" s="8">
        <v>0.60365740740740736</v>
      </c>
      <c r="B205" s="6">
        <v>106.3242</v>
      </c>
      <c r="C205" s="4">
        <v>819</v>
      </c>
      <c r="D205" s="4" t="s">
        <v>34</v>
      </c>
      <c r="E205" s="4" t="s">
        <v>34</v>
      </c>
      <c r="F205" s="4" t="s">
        <v>34</v>
      </c>
      <c r="G205">
        <f t="shared" si="3"/>
        <v>22.666666666666668</v>
      </c>
    </row>
    <row r="206" spans="1:7" x14ac:dyDescent="0.2">
      <c r="A206" s="8">
        <v>0.60366898148148151</v>
      </c>
      <c r="B206" s="6">
        <v>106.8398</v>
      </c>
      <c r="C206" s="4">
        <v>819</v>
      </c>
      <c r="D206" s="4" t="s">
        <v>35</v>
      </c>
      <c r="E206" s="9">
        <v>0.64</v>
      </c>
      <c r="F206" s="4" t="s">
        <v>25</v>
      </c>
      <c r="G206">
        <f t="shared" si="3"/>
        <v>22.666666666666668</v>
      </c>
    </row>
    <row r="207" spans="1:7" x14ac:dyDescent="0.2">
      <c r="A207" s="8">
        <v>0.60366898148148151</v>
      </c>
      <c r="B207" s="6">
        <v>107.35550000000001</v>
      </c>
      <c r="C207" s="4">
        <v>820</v>
      </c>
      <c r="D207" s="4" t="s">
        <v>34</v>
      </c>
      <c r="E207" s="4" t="s">
        <v>34</v>
      </c>
      <c r="F207" s="4" t="s">
        <v>34</v>
      </c>
      <c r="G207">
        <f t="shared" si="3"/>
        <v>22.528048780487804</v>
      </c>
    </row>
    <row r="208" spans="1:7" x14ac:dyDescent="0.2">
      <c r="A208" s="8">
        <v>0.60368055555555555</v>
      </c>
      <c r="B208" s="6">
        <v>107.85939999999999</v>
      </c>
      <c r="C208" s="4">
        <v>819</v>
      </c>
      <c r="D208" s="4" t="s">
        <v>34</v>
      </c>
      <c r="E208" s="4" t="s">
        <v>34</v>
      </c>
      <c r="F208" s="4" t="s">
        <v>34</v>
      </c>
      <c r="G208">
        <f t="shared" si="3"/>
        <v>22.666666666666668</v>
      </c>
    </row>
    <row r="209" spans="1:7" x14ac:dyDescent="0.2">
      <c r="A209" s="8">
        <v>0.60368055555555555</v>
      </c>
      <c r="B209" s="6">
        <v>108.35939999999999</v>
      </c>
      <c r="C209" s="4">
        <v>819</v>
      </c>
      <c r="D209" s="4" t="s">
        <v>34</v>
      </c>
      <c r="E209" s="4" t="s">
        <v>34</v>
      </c>
      <c r="F209" s="4" t="s">
        <v>34</v>
      </c>
      <c r="G209">
        <f t="shared" si="3"/>
        <v>22.666666666666668</v>
      </c>
    </row>
    <row r="210" spans="1:7" x14ac:dyDescent="0.2">
      <c r="A210" s="8">
        <v>0.60369212962962959</v>
      </c>
      <c r="B210" s="6">
        <v>108.8633</v>
      </c>
      <c r="C210" s="4">
        <v>819</v>
      </c>
      <c r="D210" s="4" t="s">
        <v>34</v>
      </c>
      <c r="E210" s="4" t="s">
        <v>34</v>
      </c>
      <c r="F210" s="4" t="s">
        <v>34</v>
      </c>
      <c r="G210">
        <f t="shared" si="3"/>
        <v>22.666666666666668</v>
      </c>
    </row>
  </sheetData>
  <phoneticPr fontId="4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352D-C6A6-4D7C-B68E-A72CFD7B802E}">
  <dimension ref="A1:I47"/>
  <sheetViews>
    <sheetView workbookViewId="0">
      <selection activeCell="I3" sqref="I3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27.85546875" customWidth="1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0.61262731481481481</v>
      </c>
      <c r="B2" s="6">
        <v>1.800781</v>
      </c>
      <c r="C2" s="4">
        <v>833</v>
      </c>
      <c r="D2" s="4" t="s">
        <v>34</v>
      </c>
      <c r="E2" s="4" t="s">
        <v>34</v>
      </c>
      <c r="F2" s="4" t="s">
        <v>34</v>
      </c>
      <c r="H2" s="17">
        <f>AVERAGE(C2:C21)</f>
        <v>834.7</v>
      </c>
      <c r="I2">
        <f>91*(1023-H2)/H2</f>
        <v>20.528692943572533</v>
      </c>
    </row>
    <row r="3" spans="1:9" x14ac:dyDescent="0.2">
      <c r="A3" s="8">
        <v>0.61263888888888884</v>
      </c>
      <c r="B3" s="6">
        <v>2.2695310000000002</v>
      </c>
      <c r="C3" s="4">
        <v>834</v>
      </c>
      <c r="D3" s="4" t="s">
        <v>34</v>
      </c>
      <c r="E3" s="4" t="s">
        <v>34</v>
      </c>
      <c r="F3" s="4" t="s">
        <v>34</v>
      </c>
    </row>
    <row r="4" spans="1:9" x14ac:dyDescent="0.2">
      <c r="A4" s="8">
        <v>0.61263888888888884</v>
      </c>
      <c r="B4" s="6">
        <v>2.7695310000000002</v>
      </c>
      <c r="C4" s="4">
        <v>833</v>
      </c>
      <c r="D4" s="4" t="s">
        <v>34</v>
      </c>
      <c r="E4" s="4" t="s">
        <v>34</v>
      </c>
      <c r="F4" s="4" t="s">
        <v>34</v>
      </c>
    </row>
    <row r="5" spans="1:9" x14ac:dyDescent="0.2">
      <c r="A5" s="8">
        <v>0.61265046296296299</v>
      </c>
      <c r="B5" s="6">
        <v>3.2851560000000002</v>
      </c>
      <c r="C5" s="4">
        <v>833</v>
      </c>
      <c r="D5" s="4" t="s">
        <v>35</v>
      </c>
      <c r="E5" s="9">
        <v>0.63</v>
      </c>
      <c r="F5" s="4" t="s">
        <v>25</v>
      </c>
    </row>
    <row r="6" spans="1:9" x14ac:dyDescent="0.2">
      <c r="A6" s="8">
        <v>0.61265046296296299</v>
      </c>
      <c r="B6" s="6">
        <v>3.8085939999999998</v>
      </c>
      <c r="C6" s="4">
        <v>833</v>
      </c>
      <c r="D6" s="4" t="s">
        <v>34</v>
      </c>
      <c r="E6" s="4" t="s">
        <v>34</v>
      </c>
      <c r="F6" s="4" t="s">
        <v>34</v>
      </c>
    </row>
    <row r="7" spans="1:9" x14ac:dyDescent="0.2">
      <c r="A7" s="8">
        <v>0.61266203703703703</v>
      </c>
      <c r="B7" s="6">
        <v>4.3125</v>
      </c>
      <c r="C7" s="4">
        <v>834</v>
      </c>
      <c r="D7" s="4" t="s">
        <v>34</v>
      </c>
      <c r="E7" s="4" t="s">
        <v>34</v>
      </c>
      <c r="F7" s="4" t="s">
        <v>34</v>
      </c>
    </row>
    <row r="8" spans="1:9" x14ac:dyDescent="0.2">
      <c r="A8" s="8">
        <v>0.61266203703703703</v>
      </c>
      <c r="B8" s="6">
        <v>4.8046879999999996</v>
      </c>
      <c r="C8" s="4">
        <v>835</v>
      </c>
      <c r="D8" s="4" t="s">
        <v>34</v>
      </c>
      <c r="E8" s="4" t="s">
        <v>34</v>
      </c>
      <c r="F8" s="4" t="s">
        <v>34</v>
      </c>
    </row>
    <row r="9" spans="1:9" x14ac:dyDescent="0.2">
      <c r="A9" s="8">
        <v>0.61267361111111107</v>
      </c>
      <c r="B9" s="6">
        <v>5.3046879999999996</v>
      </c>
      <c r="C9" s="4">
        <v>834</v>
      </c>
      <c r="D9" s="4" t="s">
        <v>34</v>
      </c>
      <c r="E9" s="4" t="s">
        <v>34</v>
      </c>
      <c r="F9" s="4" t="s">
        <v>34</v>
      </c>
    </row>
    <row r="10" spans="1:9" x14ac:dyDescent="0.2">
      <c r="A10" s="8">
        <v>0.61268518518518522</v>
      </c>
      <c r="B10" s="6">
        <v>6.3359379999999996</v>
      </c>
      <c r="C10" s="4">
        <v>835</v>
      </c>
      <c r="D10" s="4" t="s">
        <v>26</v>
      </c>
      <c r="E10" s="4" t="s">
        <v>26</v>
      </c>
      <c r="F10" s="4">
        <v>-237</v>
      </c>
    </row>
    <row r="11" spans="1:9" x14ac:dyDescent="0.2">
      <c r="A11" s="8">
        <v>0.61268518518518522</v>
      </c>
      <c r="B11" s="6">
        <v>6.8515629999999996</v>
      </c>
      <c r="C11" s="4">
        <v>833</v>
      </c>
      <c r="D11" s="4" t="s">
        <v>26</v>
      </c>
      <c r="E11" s="4" t="s">
        <v>26</v>
      </c>
      <c r="F11" s="4">
        <v>4112</v>
      </c>
    </row>
    <row r="12" spans="1:9" x14ac:dyDescent="0.2">
      <c r="A12" s="8">
        <v>0.61269675925925926</v>
      </c>
      <c r="B12" s="6">
        <v>7.3984379999999996</v>
      </c>
      <c r="C12" s="4">
        <v>836</v>
      </c>
      <c r="D12" s="4" t="s">
        <v>35</v>
      </c>
      <c r="E12" s="9">
        <v>0.63</v>
      </c>
      <c r="F12" s="4" t="s">
        <v>25</v>
      </c>
    </row>
    <row r="13" spans="1:9" x14ac:dyDescent="0.2">
      <c r="A13" s="8">
        <v>0.61269675925925926</v>
      </c>
      <c r="B13" s="6">
        <v>7.9140629999999996</v>
      </c>
      <c r="C13" s="4">
        <v>835</v>
      </c>
      <c r="D13" s="4" t="s">
        <v>34</v>
      </c>
      <c r="E13" s="4" t="s">
        <v>34</v>
      </c>
      <c r="F13" s="4" t="s">
        <v>34</v>
      </c>
    </row>
    <row r="14" spans="1:9" x14ac:dyDescent="0.2">
      <c r="A14" s="8">
        <v>0.6127083333333333</v>
      </c>
      <c r="B14" s="6">
        <v>8.4140630000000005</v>
      </c>
      <c r="C14" s="4">
        <v>834</v>
      </c>
      <c r="D14" s="4" t="s">
        <v>34</v>
      </c>
      <c r="E14" s="4" t="s">
        <v>34</v>
      </c>
      <c r="F14" s="4" t="s">
        <v>34</v>
      </c>
    </row>
    <row r="15" spans="1:9" x14ac:dyDescent="0.2">
      <c r="A15" s="8">
        <v>0.6127083333333333</v>
      </c>
      <c r="B15" s="6">
        <v>8.9140630000000005</v>
      </c>
      <c r="C15" s="4">
        <v>835</v>
      </c>
      <c r="D15" s="4" t="s">
        <v>34</v>
      </c>
      <c r="E15" s="4" t="s">
        <v>34</v>
      </c>
      <c r="F15" s="4" t="s">
        <v>34</v>
      </c>
    </row>
    <row r="16" spans="1:9" x14ac:dyDescent="0.2">
      <c r="A16" s="8">
        <v>0.61271990740740745</v>
      </c>
      <c r="B16" s="6">
        <v>9.4140630000000005</v>
      </c>
      <c r="C16" s="4">
        <v>836</v>
      </c>
      <c r="D16" s="4" t="s">
        <v>34</v>
      </c>
      <c r="E16" s="4" t="s">
        <v>34</v>
      </c>
      <c r="F16" s="4" t="s">
        <v>34</v>
      </c>
    </row>
    <row r="17" spans="1:6" x14ac:dyDescent="0.2">
      <c r="A17" s="8">
        <v>0.61271990740740745</v>
      </c>
      <c r="B17" s="6">
        <v>9.9492189999999994</v>
      </c>
      <c r="C17" s="4">
        <v>835</v>
      </c>
      <c r="D17" s="4" t="s">
        <v>35</v>
      </c>
      <c r="E17" s="9">
        <v>0.64</v>
      </c>
      <c r="F17" s="4" t="s">
        <v>25</v>
      </c>
    </row>
    <row r="18" spans="1:6" x14ac:dyDescent="0.2">
      <c r="A18" s="8">
        <v>0.61273148148148149</v>
      </c>
      <c r="B18" s="6">
        <v>10.460940000000001</v>
      </c>
      <c r="C18" s="4">
        <v>836</v>
      </c>
      <c r="D18" s="4" t="s">
        <v>34</v>
      </c>
      <c r="E18" s="4" t="s">
        <v>34</v>
      </c>
      <c r="F18" s="4" t="s">
        <v>34</v>
      </c>
    </row>
    <row r="19" spans="1:6" x14ac:dyDescent="0.2">
      <c r="A19" s="8">
        <v>0.61273148148148149</v>
      </c>
      <c r="B19" s="6">
        <v>10.964840000000001</v>
      </c>
      <c r="C19" s="4">
        <v>836</v>
      </c>
      <c r="D19" s="4" t="s">
        <v>34</v>
      </c>
      <c r="E19" s="4" t="s">
        <v>34</v>
      </c>
      <c r="F19" s="4" t="s">
        <v>34</v>
      </c>
    </row>
    <row r="20" spans="1:6" x14ac:dyDescent="0.2">
      <c r="A20" s="8">
        <v>0.61274305555555553</v>
      </c>
      <c r="B20" s="6">
        <v>11.464840000000001</v>
      </c>
      <c r="C20" s="4">
        <v>837</v>
      </c>
      <c r="D20" s="4" t="s">
        <v>34</v>
      </c>
      <c r="E20" s="4" t="s">
        <v>34</v>
      </c>
      <c r="F20" s="4" t="s">
        <v>34</v>
      </c>
    </row>
    <row r="21" spans="1:6" x14ac:dyDescent="0.2">
      <c r="A21" s="8">
        <v>0.61274305555555553</v>
      </c>
      <c r="B21" s="6">
        <v>11.964840000000001</v>
      </c>
      <c r="C21" s="4">
        <v>837</v>
      </c>
      <c r="D21" s="4" t="s">
        <v>34</v>
      </c>
      <c r="E21" s="4" t="s">
        <v>34</v>
      </c>
      <c r="F21" s="4" t="s">
        <v>34</v>
      </c>
    </row>
    <row r="22" spans="1:6" x14ac:dyDescent="0.2">
      <c r="A22" s="8"/>
      <c r="E22" s="9"/>
    </row>
    <row r="23" spans="1:6" x14ac:dyDescent="0.2">
      <c r="A23" s="8"/>
    </row>
    <row r="24" spans="1:6" x14ac:dyDescent="0.2">
      <c r="A24" s="8"/>
    </row>
    <row r="25" spans="1:6" x14ac:dyDescent="0.2">
      <c r="A25" s="8"/>
    </row>
    <row r="26" spans="1:6" x14ac:dyDescent="0.2">
      <c r="A26" s="8"/>
    </row>
    <row r="27" spans="1:6" x14ac:dyDescent="0.2">
      <c r="A27" s="8"/>
    </row>
    <row r="28" spans="1:6" x14ac:dyDescent="0.2">
      <c r="A28" s="8"/>
    </row>
    <row r="29" spans="1:6" x14ac:dyDescent="0.2">
      <c r="A29" s="8"/>
    </row>
    <row r="30" spans="1:6" x14ac:dyDescent="0.2">
      <c r="A30" s="8"/>
      <c r="E30" s="9"/>
    </row>
    <row r="31" spans="1:6" x14ac:dyDescent="0.2">
      <c r="A31" s="8"/>
    </row>
    <row r="32" spans="1:6" x14ac:dyDescent="0.2">
      <c r="A32" s="8"/>
    </row>
    <row r="33" spans="1:5" x14ac:dyDescent="0.2">
      <c r="A33" s="8"/>
    </row>
    <row r="34" spans="1:5" x14ac:dyDescent="0.2">
      <c r="A34" s="8"/>
    </row>
    <row r="35" spans="1:5" x14ac:dyDescent="0.2">
      <c r="A35" s="8"/>
    </row>
    <row r="36" spans="1:5" x14ac:dyDescent="0.2">
      <c r="A36" s="8"/>
    </row>
    <row r="37" spans="1:5" x14ac:dyDescent="0.2">
      <c r="A37" s="8"/>
    </row>
    <row r="38" spans="1:5" x14ac:dyDescent="0.2">
      <c r="A38" s="8"/>
      <c r="E38" s="9"/>
    </row>
    <row r="39" spans="1:5" x14ac:dyDescent="0.2">
      <c r="A39" s="8"/>
    </row>
    <row r="40" spans="1:5" x14ac:dyDescent="0.2">
      <c r="A40" s="8"/>
    </row>
    <row r="41" spans="1:5" x14ac:dyDescent="0.2">
      <c r="A41" s="8"/>
    </row>
    <row r="42" spans="1:5" x14ac:dyDescent="0.2">
      <c r="A42" s="8"/>
    </row>
    <row r="43" spans="1:5" x14ac:dyDescent="0.2">
      <c r="A43" s="8"/>
      <c r="E43" s="9"/>
    </row>
    <row r="44" spans="1:5" x14ac:dyDescent="0.2">
      <c r="A44" s="8"/>
    </row>
    <row r="45" spans="1:5" x14ac:dyDescent="0.2">
      <c r="A45" s="8"/>
    </row>
    <row r="46" spans="1:5" x14ac:dyDescent="0.2">
      <c r="A46" s="8"/>
    </row>
    <row r="47" spans="1:5" x14ac:dyDescent="0.2">
      <c r="A47" s="8"/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F70D5-132F-4E03-9D57-D693B92F42D4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0.55598379629629635</v>
      </c>
      <c r="B2" s="6">
        <v>1.792969</v>
      </c>
      <c r="C2" s="4">
        <v>799</v>
      </c>
      <c r="D2" s="4" t="s">
        <v>26</v>
      </c>
      <c r="E2" s="4" t="s">
        <v>26</v>
      </c>
      <c r="F2" s="4">
        <v>21</v>
      </c>
      <c r="H2">
        <f>AVERAGE(C2:C21)</f>
        <v>799.85</v>
      </c>
      <c r="I2">
        <f>91*(1023-H2)/H2</f>
        <v>25.38807276364318</v>
      </c>
    </row>
    <row r="3" spans="1:9" x14ac:dyDescent="0.2">
      <c r="A3" s="8">
        <v>0.55600694444444443</v>
      </c>
      <c r="B3" s="6">
        <v>3.8242189999999998</v>
      </c>
      <c r="C3" s="4">
        <v>800</v>
      </c>
      <c r="D3" s="4" t="s">
        <v>24</v>
      </c>
      <c r="E3" s="9">
        <v>0.66</v>
      </c>
      <c r="F3" s="4" t="s">
        <v>25</v>
      </c>
    </row>
    <row r="4" spans="1:9" x14ac:dyDescent="0.2">
      <c r="A4" s="8">
        <v>0.55603009259259262</v>
      </c>
      <c r="B4" s="6">
        <v>5.8632809999999997</v>
      </c>
      <c r="C4" s="4">
        <v>802</v>
      </c>
      <c r="D4" s="4" t="s">
        <v>24</v>
      </c>
      <c r="E4" s="9">
        <v>0.66</v>
      </c>
      <c r="F4" s="4" t="s">
        <v>25</v>
      </c>
    </row>
    <row r="5" spans="1:9" x14ac:dyDescent="0.2">
      <c r="A5" s="8">
        <v>0.5560532407407407</v>
      </c>
      <c r="B5" s="6">
        <v>7.90625</v>
      </c>
      <c r="C5" s="4">
        <v>799</v>
      </c>
      <c r="D5" s="4" t="s">
        <v>26</v>
      </c>
      <c r="E5" s="4" t="s">
        <v>26</v>
      </c>
      <c r="F5" s="4">
        <v>21</v>
      </c>
    </row>
    <row r="6" spans="1:9" x14ac:dyDescent="0.2">
      <c r="A6" s="8">
        <v>0.55607638888888888</v>
      </c>
      <c r="B6" s="6">
        <v>9.9375</v>
      </c>
      <c r="C6" s="4">
        <v>801</v>
      </c>
      <c r="D6" s="4" t="s">
        <v>24</v>
      </c>
      <c r="E6" s="9">
        <v>0.66</v>
      </c>
      <c r="F6" s="4" t="s">
        <v>25</v>
      </c>
    </row>
    <row r="7" spans="1:9" x14ac:dyDescent="0.2">
      <c r="A7" s="8">
        <v>0.55609953703703707</v>
      </c>
      <c r="B7" s="6">
        <v>11.98828</v>
      </c>
      <c r="C7" s="4">
        <v>798</v>
      </c>
      <c r="D7" s="4" t="s">
        <v>26</v>
      </c>
      <c r="E7" s="4" t="s">
        <v>26</v>
      </c>
      <c r="F7" s="4">
        <v>21</v>
      </c>
    </row>
    <row r="8" spans="1:9" x14ac:dyDescent="0.2">
      <c r="A8" s="8">
        <v>0.55612268518518515</v>
      </c>
      <c r="B8" s="6">
        <v>14.03125</v>
      </c>
      <c r="C8" s="4">
        <v>800</v>
      </c>
      <c r="D8" s="4" t="s">
        <v>24</v>
      </c>
      <c r="E8" s="9">
        <v>0.66</v>
      </c>
      <c r="F8" s="4" t="s">
        <v>25</v>
      </c>
    </row>
    <row r="9" spans="1:9" x14ac:dyDescent="0.2">
      <c r="A9" s="8">
        <v>0.55614583333333334</v>
      </c>
      <c r="B9" s="6">
        <v>16.070309999999999</v>
      </c>
      <c r="C9" s="4">
        <v>801</v>
      </c>
      <c r="D9" s="4" t="s">
        <v>24</v>
      </c>
      <c r="E9" s="9">
        <v>0.66</v>
      </c>
      <c r="F9" s="4" t="s">
        <v>25</v>
      </c>
    </row>
    <row r="10" spans="1:9" x14ac:dyDescent="0.2">
      <c r="A10" s="8">
        <v>0.55616898148148153</v>
      </c>
      <c r="B10" s="6">
        <v>18.11328</v>
      </c>
      <c r="C10" s="4">
        <v>800</v>
      </c>
      <c r="D10" s="4" t="s">
        <v>24</v>
      </c>
      <c r="E10" s="9">
        <v>0.66</v>
      </c>
      <c r="F10" s="4" t="s">
        <v>25</v>
      </c>
    </row>
    <row r="11" spans="1:9" x14ac:dyDescent="0.2">
      <c r="A11" s="8">
        <v>0.55619212962962961</v>
      </c>
      <c r="B11" s="6">
        <v>20.14453</v>
      </c>
      <c r="C11" s="4">
        <v>798</v>
      </c>
      <c r="D11" s="4" t="s">
        <v>24</v>
      </c>
      <c r="E11" s="9">
        <v>0.66</v>
      </c>
      <c r="F11" s="4" t="s">
        <v>25</v>
      </c>
    </row>
    <row r="12" spans="1:9" x14ac:dyDescent="0.2">
      <c r="A12" s="8">
        <v>0.55621527777777779</v>
      </c>
      <c r="B12" s="6">
        <v>22.1875</v>
      </c>
      <c r="C12" s="4">
        <v>798</v>
      </c>
      <c r="D12" s="4" t="s">
        <v>24</v>
      </c>
      <c r="E12" s="9">
        <v>0.66</v>
      </c>
      <c r="F12" s="4" t="s">
        <v>25</v>
      </c>
    </row>
    <row r="13" spans="1:9" x14ac:dyDescent="0.2">
      <c r="A13" s="8">
        <v>0.55623842592592587</v>
      </c>
      <c r="B13" s="6">
        <v>24.222660000000001</v>
      </c>
      <c r="C13" s="4">
        <v>801</v>
      </c>
      <c r="D13" s="4" t="s">
        <v>24</v>
      </c>
      <c r="E13" s="9">
        <v>0.66</v>
      </c>
      <c r="F13" s="4" t="s">
        <v>25</v>
      </c>
    </row>
    <row r="14" spans="1:9" x14ac:dyDescent="0.2">
      <c r="A14" s="8">
        <v>0.55626157407407406</v>
      </c>
      <c r="B14" s="6">
        <v>26.273440000000001</v>
      </c>
      <c r="C14" s="4">
        <v>798</v>
      </c>
      <c r="D14" s="4" t="s">
        <v>24</v>
      </c>
      <c r="E14" s="9">
        <v>0.66</v>
      </c>
      <c r="F14" s="4" t="s">
        <v>25</v>
      </c>
    </row>
    <row r="15" spans="1:9" x14ac:dyDescent="0.2">
      <c r="A15" s="8">
        <v>0.55629629629629629</v>
      </c>
      <c r="B15" s="6">
        <v>28.8125</v>
      </c>
      <c r="C15" s="4">
        <v>798</v>
      </c>
      <c r="D15" s="4" t="s">
        <v>26</v>
      </c>
      <c r="E15" s="4" t="s">
        <v>26</v>
      </c>
      <c r="F15" s="4">
        <v>-237</v>
      </c>
    </row>
    <row r="16" spans="1:9" x14ac:dyDescent="0.2">
      <c r="A16" s="8">
        <v>0.55631944444444448</v>
      </c>
      <c r="B16" s="6">
        <v>30.85547</v>
      </c>
      <c r="C16" s="4">
        <v>801</v>
      </c>
      <c r="D16" s="4" t="s">
        <v>24</v>
      </c>
      <c r="E16" s="9">
        <v>0.66</v>
      </c>
      <c r="F16" s="4" t="s">
        <v>25</v>
      </c>
    </row>
    <row r="17" spans="1:6" x14ac:dyDescent="0.2">
      <c r="A17" s="8">
        <v>0.55634259259259256</v>
      </c>
      <c r="B17" s="6">
        <v>32.894530000000003</v>
      </c>
      <c r="C17" s="4">
        <v>799</v>
      </c>
      <c r="D17" s="4" t="s">
        <v>24</v>
      </c>
      <c r="E17" s="9">
        <v>0.66</v>
      </c>
      <c r="F17" s="4" t="s">
        <v>25</v>
      </c>
    </row>
    <row r="18" spans="1:6" x14ac:dyDescent="0.2">
      <c r="A18" s="8">
        <v>0.55636574074074074</v>
      </c>
      <c r="B18" s="6">
        <v>35.429690000000001</v>
      </c>
      <c r="C18" s="4">
        <v>802</v>
      </c>
      <c r="D18" s="4" t="s">
        <v>26</v>
      </c>
      <c r="E18" s="4" t="s">
        <v>26</v>
      </c>
      <c r="F18" s="4">
        <v>-237</v>
      </c>
    </row>
    <row r="19" spans="1:6" x14ac:dyDescent="0.2">
      <c r="A19" s="8">
        <v>0.55638888888888893</v>
      </c>
      <c r="B19" s="6">
        <v>37.480469999999997</v>
      </c>
      <c r="C19" s="4">
        <v>799</v>
      </c>
      <c r="D19" s="4" t="s">
        <v>24</v>
      </c>
      <c r="E19" s="9">
        <v>0.67</v>
      </c>
      <c r="F19" s="4" t="s">
        <v>25</v>
      </c>
    </row>
    <row r="20" spans="1:6" x14ac:dyDescent="0.2">
      <c r="A20" s="8">
        <v>0.55641203703703701</v>
      </c>
      <c r="B20" s="6">
        <v>39.523440000000001</v>
      </c>
      <c r="C20" s="4">
        <v>800</v>
      </c>
      <c r="D20" s="4" t="s">
        <v>24</v>
      </c>
      <c r="E20" s="9">
        <v>0.67</v>
      </c>
      <c r="F20" s="4" t="s">
        <v>25</v>
      </c>
    </row>
    <row r="21" spans="1:6" x14ac:dyDescent="0.2">
      <c r="A21" s="8">
        <v>0.55644675925925924</v>
      </c>
      <c r="B21" s="6">
        <v>41.5625</v>
      </c>
      <c r="C21" s="4">
        <v>803</v>
      </c>
      <c r="D21" s="4" t="s">
        <v>24</v>
      </c>
      <c r="E21" s="9">
        <v>0.67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20FAB-86A4-4A59-9CA0-49D96976EAAA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0.55704861111111115</v>
      </c>
      <c r="B2" s="6">
        <v>1.808594</v>
      </c>
      <c r="C2" s="4">
        <v>770</v>
      </c>
      <c r="D2" s="4" t="s">
        <v>24</v>
      </c>
      <c r="E2" s="9">
        <v>0.67</v>
      </c>
      <c r="F2" s="4" t="s">
        <v>25</v>
      </c>
      <c r="H2">
        <f>AVERAGE(C2:C21)</f>
        <v>773.9</v>
      </c>
      <c r="I2">
        <f>91*(1023-H2)/H2</f>
        <v>29.290735237110741</v>
      </c>
    </row>
    <row r="3" spans="1:9" x14ac:dyDescent="0.2">
      <c r="A3" s="8">
        <v>0.55707175925925922</v>
      </c>
      <c r="B3" s="6">
        <v>3.828125</v>
      </c>
      <c r="C3" s="4">
        <v>773</v>
      </c>
      <c r="D3" s="4" t="s">
        <v>24</v>
      </c>
      <c r="E3" s="9">
        <v>0.67</v>
      </c>
      <c r="F3" s="4" t="s">
        <v>25</v>
      </c>
    </row>
    <row r="4" spans="1:9" x14ac:dyDescent="0.2">
      <c r="A4" s="8">
        <v>0.55709490740740741</v>
      </c>
      <c r="B4" s="6">
        <v>5.8710940000000003</v>
      </c>
      <c r="C4" s="4">
        <v>772</v>
      </c>
      <c r="D4" s="4" t="s">
        <v>24</v>
      </c>
      <c r="E4" s="9">
        <v>0.67</v>
      </c>
      <c r="F4" s="4" t="s">
        <v>25</v>
      </c>
    </row>
    <row r="5" spans="1:9" x14ac:dyDescent="0.2">
      <c r="A5" s="8">
        <v>0.5571180555555556</v>
      </c>
      <c r="B5" s="6">
        <v>7.9140629999999996</v>
      </c>
      <c r="C5" s="4">
        <v>773</v>
      </c>
      <c r="D5" s="4" t="s">
        <v>24</v>
      </c>
      <c r="E5" s="9">
        <v>0.67</v>
      </c>
      <c r="F5" s="4" t="s">
        <v>25</v>
      </c>
    </row>
    <row r="6" spans="1:9" x14ac:dyDescent="0.2">
      <c r="A6" s="8">
        <v>0.55714120370370368</v>
      </c>
      <c r="B6" s="6">
        <v>9.9492189999999994</v>
      </c>
      <c r="C6" s="4">
        <v>771</v>
      </c>
      <c r="D6" s="4" t="s">
        <v>24</v>
      </c>
      <c r="E6" s="9">
        <v>0.67</v>
      </c>
      <c r="F6" s="4" t="s">
        <v>25</v>
      </c>
    </row>
    <row r="7" spans="1:9" x14ac:dyDescent="0.2">
      <c r="A7" s="8">
        <v>0.55716435185185187</v>
      </c>
      <c r="B7" s="6">
        <v>11.992190000000001</v>
      </c>
      <c r="C7" s="4">
        <v>773</v>
      </c>
      <c r="D7" s="4" t="s">
        <v>24</v>
      </c>
      <c r="E7" s="9">
        <v>0.67</v>
      </c>
      <c r="F7" s="4" t="s">
        <v>25</v>
      </c>
    </row>
    <row r="8" spans="1:9" x14ac:dyDescent="0.2">
      <c r="A8" s="8">
        <v>0.55718749999999995</v>
      </c>
      <c r="B8" s="6">
        <v>14.023440000000001</v>
      </c>
      <c r="C8" s="4">
        <v>771</v>
      </c>
      <c r="D8" s="4" t="s">
        <v>24</v>
      </c>
      <c r="E8" s="9">
        <v>0.67</v>
      </c>
      <c r="F8" s="4" t="s">
        <v>25</v>
      </c>
    </row>
    <row r="9" spans="1:9" x14ac:dyDescent="0.2">
      <c r="A9" s="8">
        <v>0.55721064814814814</v>
      </c>
      <c r="B9" s="6">
        <v>16.08203</v>
      </c>
      <c r="C9" s="4">
        <v>773</v>
      </c>
      <c r="D9" s="4" t="s">
        <v>24</v>
      </c>
      <c r="E9" s="9">
        <v>0.67</v>
      </c>
      <c r="F9" s="4" t="s">
        <v>25</v>
      </c>
    </row>
    <row r="10" spans="1:9" x14ac:dyDescent="0.2">
      <c r="A10" s="8">
        <v>0.55723379629629632</v>
      </c>
      <c r="B10" s="6">
        <v>18.11328</v>
      </c>
      <c r="C10" s="4">
        <v>774</v>
      </c>
      <c r="D10" s="4" t="s">
        <v>24</v>
      </c>
      <c r="E10" s="9">
        <v>0.67</v>
      </c>
      <c r="F10" s="4" t="s">
        <v>25</v>
      </c>
    </row>
    <row r="11" spans="1:9" x14ac:dyDescent="0.2">
      <c r="A11" s="8">
        <v>0.5572569444444444</v>
      </c>
      <c r="B11" s="6">
        <v>20.160160000000001</v>
      </c>
      <c r="C11" s="4">
        <v>771</v>
      </c>
      <c r="D11" s="4" t="s">
        <v>24</v>
      </c>
      <c r="E11" s="9">
        <v>0.67</v>
      </c>
      <c r="F11" s="4" t="s">
        <v>25</v>
      </c>
    </row>
    <row r="12" spans="1:9" x14ac:dyDescent="0.2">
      <c r="A12" s="8">
        <v>0.55728009259259259</v>
      </c>
      <c r="B12" s="6">
        <v>22.1875</v>
      </c>
      <c r="C12" s="4">
        <v>772</v>
      </c>
      <c r="D12" s="4" t="s">
        <v>26</v>
      </c>
      <c r="E12" s="4" t="s">
        <v>26</v>
      </c>
      <c r="F12" s="4">
        <v>21</v>
      </c>
    </row>
    <row r="13" spans="1:9" x14ac:dyDescent="0.2">
      <c r="A13" s="8">
        <v>0.55730324074074078</v>
      </c>
      <c r="B13" s="6">
        <v>24.246089999999999</v>
      </c>
      <c r="C13" s="4">
        <v>776</v>
      </c>
      <c r="D13" s="4" t="s">
        <v>24</v>
      </c>
      <c r="E13" s="9">
        <v>0.67</v>
      </c>
      <c r="F13" s="4" t="s">
        <v>25</v>
      </c>
    </row>
    <row r="14" spans="1:9" x14ac:dyDescent="0.2">
      <c r="A14" s="8">
        <v>0.55732638888888886</v>
      </c>
      <c r="B14" s="6">
        <v>26.277339999999999</v>
      </c>
      <c r="C14" s="4">
        <v>773</v>
      </c>
      <c r="D14" s="4" t="s">
        <v>24</v>
      </c>
      <c r="E14" s="9">
        <v>0.67</v>
      </c>
      <c r="F14" s="4" t="s">
        <v>25</v>
      </c>
    </row>
    <row r="15" spans="1:9" x14ac:dyDescent="0.2">
      <c r="A15" s="8">
        <v>0.55736111111111108</v>
      </c>
      <c r="B15" s="6">
        <v>28.32422</v>
      </c>
      <c r="C15" s="4">
        <v>777</v>
      </c>
      <c r="D15" s="4" t="s">
        <v>24</v>
      </c>
      <c r="E15" s="9">
        <v>0.68</v>
      </c>
      <c r="F15" s="4" t="s">
        <v>25</v>
      </c>
    </row>
    <row r="16" spans="1:9" x14ac:dyDescent="0.2">
      <c r="A16" s="8">
        <v>0.55738425925925927</v>
      </c>
      <c r="B16" s="6">
        <v>30.36328</v>
      </c>
      <c r="C16" s="4">
        <v>777</v>
      </c>
      <c r="D16" s="4" t="s">
        <v>24</v>
      </c>
      <c r="E16" s="9">
        <v>0.68</v>
      </c>
      <c r="F16" s="4" t="s">
        <v>25</v>
      </c>
    </row>
    <row r="17" spans="1:6" x14ac:dyDescent="0.2">
      <c r="A17" s="8">
        <v>0.55740740740740746</v>
      </c>
      <c r="B17" s="6">
        <v>32.402340000000002</v>
      </c>
      <c r="C17" s="4">
        <v>778</v>
      </c>
      <c r="D17" s="4" t="s">
        <v>24</v>
      </c>
      <c r="E17" s="9">
        <v>0.68</v>
      </c>
      <c r="F17" s="4" t="s">
        <v>25</v>
      </c>
    </row>
    <row r="18" spans="1:6" x14ac:dyDescent="0.2">
      <c r="A18" s="8">
        <v>0.55743055555555554</v>
      </c>
      <c r="B18" s="6">
        <v>34.441409999999998</v>
      </c>
      <c r="C18" s="4">
        <v>775</v>
      </c>
      <c r="D18" s="4" t="s">
        <v>24</v>
      </c>
      <c r="E18" s="9">
        <v>0.68</v>
      </c>
      <c r="F18" s="4" t="s">
        <v>25</v>
      </c>
    </row>
    <row r="19" spans="1:6" x14ac:dyDescent="0.2">
      <c r="A19" s="8">
        <v>0.55745370370370373</v>
      </c>
      <c r="B19" s="6">
        <v>36.476559999999999</v>
      </c>
      <c r="C19" s="4">
        <v>777</v>
      </c>
      <c r="D19" s="4" t="s">
        <v>26</v>
      </c>
      <c r="E19" s="4" t="s">
        <v>26</v>
      </c>
      <c r="F19" s="4">
        <v>21</v>
      </c>
    </row>
    <row r="20" spans="1:6" x14ac:dyDescent="0.2">
      <c r="A20" s="8">
        <v>0.55747685185185181</v>
      </c>
      <c r="B20" s="6">
        <v>38.507809999999999</v>
      </c>
      <c r="C20" s="4">
        <v>777</v>
      </c>
      <c r="D20" s="4" t="s">
        <v>26</v>
      </c>
      <c r="E20" s="4" t="s">
        <v>26</v>
      </c>
      <c r="F20" s="4">
        <v>21</v>
      </c>
    </row>
    <row r="21" spans="1:6" x14ac:dyDescent="0.2">
      <c r="A21" s="8">
        <v>0.5575</v>
      </c>
      <c r="B21" s="6">
        <v>40.558590000000002</v>
      </c>
      <c r="C21" s="4">
        <v>775</v>
      </c>
      <c r="D21" s="4" t="s">
        <v>24</v>
      </c>
      <c r="E21" s="9">
        <v>0.68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AA5058-EED8-46E7-BD51-C7EFFAB1F147}">
  <dimension ref="A1:I21"/>
  <sheetViews>
    <sheetView workbookViewId="0">
      <selection activeCell="H2" sqref="H2"/>
    </sheetView>
  </sheetViews>
  <sheetFormatPr defaultRowHeight="12.75" x14ac:dyDescent="0.2"/>
  <cols>
    <col min="1" max="1" width="9.140625" style="4"/>
    <col min="2" max="2" width="9.140625" style="6"/>
    <col min="3" max="6" width="9.140625" style="4"/>
    <col min="8" max="8" width="9.140625" customWidth="1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0.55783564814814812</v>
      </c>
      <c r="B2" s="6">
        <v>1.792969</v>
      </c>
      <c r="C2" s="4">
        <v>817</v>
      </c>
      <c r="D2" s="4" t="s">
        <v>24</v>
      </c>
      <c r="E2" s="9">
        <v>0.68</v>
      </c>
      <c r="F2" s="4" t="s">
        <v>25</v>
      </c>
      <c r="H2">
        <f>AVERAGE(C2:C21)</f>
        <v>812</v>
      </c>
      <c r="I2">
        <f>91*(1023-H2)/H2</f>
        <v>23.646551724137932</v>
      </c>
    </row>
    <row r="3" spans="1:9" x14ac:dyDescent="0.2">
      <c r="A3" s="8">
        <v>0.55785879629629631</v>
      </c>
      <c r="B3" s="6">
        <v>3.8085939999999998</v>
      </c>
      <c r="C3" s="4">
        <v>818</v>
      </c>
      <c r="D3" s="4" t="s">
        <v>24</v>
      </c>
      <c r="E3" s="9">
        <v>0.68</v>
      </c>
      <c r="F3" s="4" t="s">
        <v>25</v>
      </c>
    </row>
    <row r="4" spans="1:9" x14ac:dyDescent="0.2">
      <c r="A4" s="8">
        <v>0.5578819444444445</v>
      </c>
      <c r="B4" s="6">
        <v>5.84375</v>
      </c>
      <c r="C4" s="4">
        <v>817</v>
      </c>
      <c r="D4" s="4" t="s">
        <v>26</v>
      </c>
      <c r="E4" s="4" t="s">
        <v>26</v>
      </c>
      <c r="F4" s="4">
        <v>21</v>
      </c>
    </row>
    <row r="5" spans="1:9" x14ac:dyDescent="0.2">
      <c r="A5" s="8">
        <v>0.55790509259259258</v>
      </c>
      <c r="B5" s="6">
        <v>7.890625</v>
      </c>
      <c r="C5" s="4">
        <v>814</v>
      </c>
      <c r="D5" s="4" t="s">
        <v>24</v>
      </c>
      <c r="E5" s="9">
        <v>0.68</v>
      </c>
      <c r="F5" s="4" t="s">
        <v>25</v>
      </c>
    </row>
    <row r="6" spans="1:9" x14ac:dyDescent="0.2">
      <c r="A6" s="8">
        <v>0.55792824074074077</v>
      </c>
      <c r="B6" s="6">
        <v>9.9375</v>
      </c>
      <c r="C6" s="4">
        <v>814</v>
      </c>
      <c r="D6" s="4" t="s">
        <v>24</v>
      </c>
      <c r="E6" s="9">
        <v>0.68</v>
      </c>
      <c r="F6" s="4" t="s">
        <v>25</v>
      </c>
    </row>
    <row r="7" spans="1:9" x14ac:dyDescent="0.2">
      <c r="A7" s="8">
        <v>0.55795138888888884</v>
      </c>
      <c r="B7" s="6">
        <v>11.96875</v>
      </c>
      <c r="C7" s="4">
        <v>814</v>
      </c>
      <c r="D7" s="4" t="s">
        <v>26</v>
      </c>
      <c r="E7" s="4" t="s">
        <v>26</v>
      </c>
      <c r="F7" s="4">
        <v>21</v>
      </c>
    </row>
    <row r="8" spans="1:9" x14ac:dyDescent="0.2">
      <c r="A8" s="8">
        <v>0.55797453703703703</v>
      </c>
      <c r="B8" s="6">
        <v>14.01563</v>
      </c>
      <c r="C8" s="4">
        <v>813</v>
      </c>
      <c r="D8" s="4" t="s">
        <v>24</v>
      </c>
      <c r="E8" s="9">
        <v>0.68</v>
      </c>
      <c r="F8" s="4" t="s">
        <v>25</v>
      </c>
    </row>
    <row r="9" spans="1:9" x14ac:dyDescent="0.2">
      <c r="A9" s="8">
        <v>0.55799768518518522</v>
      </c>
      <c r="B9" s="6">
        <v>16.066410000000001</v>
      </c>
      <c r="C9" s="4">
        <v>811</v>
      </c>
      <c r="D9" s="4" t="s">
        <v>24</v>
      </c>
      <c r="E9" s="9">
        <v>0.68</v>
      </c>
      <c r="F9" s="4" t="s">
        <v>25</v>
      </c>
    </row>
    <row r="10" spans="1:9" x14ac:dyDescent="0.2">
      <c r="A10" s="8">
        <v>0.5580208333333333</v>
      </c>
      <c r="B10" s="6">
        <v>18.109380000000002</v>
      </c>
      <c r="C10" s="4">
        <v>811</v>
      </c>
      <c r="D10" s="4" t="s">
        <v>24</v>
      </c>
      <c r="E10" s="9">
        <v>0.68</v>
      </c>
      <c r="F10" s="4" t="s">
        <v>25</v>
      </c>
    </row>
    <row r="11" spans="1:9" x14ac:dyDescent="0.2">
      <c r="A11" s="8">
        <v>0.55805555555555553</v>
      </c>
      <c r="B11" s="6">
        <v>20.148440000000001</v>
      </c>
      <c r="C11" s="4">
        <v>813</v>
      </c>
      <c r="D11" s="4" t="s">
        <v>24</v>
      </c>
      <c r="E11" s="9">
        <v>0.68</v>
      </c>
      <c r="F11" s="4" t="s">
        <v>25</v>
      </c>
    </row>
    <row r="12" spans="1:9" x14ac:dyDescent="0.2">
      <c r="A12" s="8">
        <v>0.55807870370370372</v>
      </c>
      <c r="B12" s="6">
        <v>22.1875</v>
      </c>
      <c r="C12" s="4">
        <v>809</v>
      </c>
      <c r="D12" s="4" t="s">
        <v>24</v>
      </c>
      <c r="E12" s="9">
        <v>0.68</v>
      </c>
      <c r="F12" s="4" t="s">
        <v>25</v>
      </c>
    </row>
    <row r="13" spans="1:9" x14ac:dyDescent="0.2">
      <c r="A13" s="8">
        <v>0.5581018518518519</v>
      </c>
      <c r="B13" s="6">
        <v>24.226559999999999</v>
      </c>
      <c r="C13" s="4">
        <v>812</v>
      </c>
      <c r="D13" s="4" t="s">
        <v>24</v>
      </c>
      <c r="E13" s="9">
        <v>0.68</v>
      </c>
      <c r="F13" s="4" t="s">
        <v>25</v>
      </c>
    </row>
    <row r="14" spans="1:9" x14ac:dyDescent="0.2">
      <c r="A14" s="8">
        <v>0.55812499999999998</v>
      </c>
      <c r="B14" s="6">
        <v>26.26953</v>
      </c>
      <c r="C14" s="4">
        <v>809</v>
      </c>
      <c r="D14" s="4" t="s">
        <v>24</v>
      </c>
      <c r="E14" s="9">
        <v>0.68</v>
      </c>
      <c r="F14" s="4" t="s">
        <v>25</v>
      </c>
    </row>
    <row r="15" spans="1:9" x14ac:dyDescent="0.2">
      <c r="A15" s="8">
        <v>0.55814814814814817</v>
      </c>
      <c r="B15" s="6">
        <v>28.308589999999999</v>
      </c>
      <c r="C15" s="4">
        <v>811</v>
      </c>
      <c r="D15" s="4" t="s">
        <v>24</v>
      </c>
      <c r="E15" s="9">
        <v>0.68</v>
      </c>
      <c r="F15" s="4" t="s">
        <v>25</v>
      </c>
    </row>
    <row r="16" spans="1:9" x14ac:dyDescent="0.2">
      <c r="A16" s="8">
        <v>0.55817129629629625</v>
      </c>
      <c r="B16" s="6">
        <v>30.347660000000001</v>
      </c>
      <c r="C16" s="4">
        <v>811</v>
      </c>
      <c r="D16" s="4" t="s">
        <v>24</v>
      </c>
      <c r="E16" s="9">
        <v>0.68</v>
      </c>
      <c r="F16" s="4" t="s">
        <v>25</v>
      </c>
    </row>
    <row r="17" spans="1:6" x14ac:dyDescent="0.2">
      <c r="A17" s="8">
        <v>0.55819444444444444</v>
      </c>
      <c r="B17" s="6">
        <v>32.382809999999999</v>
      </c>
      <c r="C17" s="4">
        <v>810</v>
      </c>
      <c r="D17" s="4" t="s">
        <v>24</v>
      </c>
      <c r="E17" s="9">
        <v>0.68</v>
      </c>
      <c r="F17" s="4" t="s">
        <v>25</v>
      </c>
    </row>
    <row r="18" spans="1:6" x14ac:dyDescent="0.2">
      <c r="A18" s="8">
        <v>0.55821759259259263</v>
      </c>
      <c r="B18" s="6">
        <v>34.4375</v>
      </c>
      <c r="C18" s="4">
        <v>809</v>
      </c>
      <c r="D18" s="4" t="s">
        <v>24</v>
      </c>
      <c r="E18" s="9">
        <v>0.67</v>
      </c>
      <c r="F18" s="4" t="s">
        <v>25</v>
      </c>
    </row>
    <row r="19" spans="1:6" x14ac:dyDescent="0.2">
      <c r="A19" s="8">
        <v>0.5582407407407407</v>
      </c>
      <c r="B19" s="6">
        <v>36.460940000000001</v>
      </c>
      <c r="C19" s="4">
        <v>808</v>
      </c>
      <c r="D19" s="4" t="s">
        <v>24</v>
      </c>
      <c r="E19" s="9">
        <v>0.67</v>
      </c>
      <c r="F19" s="4" t="s">
        <v>25</v>
      </c>
    </row>
    <row r="20" spans="1:6" x14ac:dyDescent="0.2">
      <c r="A20" s="8">
        <v>0.55826388888888889</v>
      </c>
      <c r="B20" s="6">
        <v>38.507809999999999</v>
      </c>
      <c r="C20" s="4">
        <v>809</v>
      </c>
      <c r="D20" s="4" t="s">
        <v>24</v>
      </c>
      <c r="E20" s="9">
        <v>0.67</v>
      </c>
      <c r="F20" s="4" t="s">
        <v>25</v>
      </c>
    </row>
    <row r="21" spans="1:6" x14ac:dyDescent="0.2">
      <c r="A21" s="8">
        <v>0.55828703703703708</v>
      </c>
      <c r="B21" s="6">
        <v>40.542969999999997</v>
      </c>
      <c r="C21" s="4">
        <v>810</v>
      </c>
      <c r="D21" s="4" t="s">
        <v>26</v>
      </c>
      <c r="E21" s="4" t="s">
        <v>26</v>
      </c>
      <c r="F21" s="4">
        <v>21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E4521-AFF3-45CE-98CD-537EBBB75637}">
  <dimension ref="A1:I21"/>
  <sheetViews>
    <sheetView tabSelected="1" workbookViewId="0">
      <selection activeCell="P7" sqref="P7"/>
    </sheetView>
  </sheetViews>
  <sheetFormatPr defaultRowHeight="12.75" x14ac:dyDescent="0.2"/>
  <cols>
    <col min="1" max="1" width="9.140625" style="4"/>
    <col min="2" max="2" width="9.140625" style="6"/>
    <col min="3" max="6" width="9.140625" style="4"/>
  </cols>
  <sheetData>
    <row r="1" spans="1:9" x14ac:dyDescent="0.2">
      <c r="A1" s="5" t="s">
        <v>19</v>
      </c>
      <c r="B1" s="7" t="s">
        <v>20</v>
      </c>
      <c r="C1" s="5" t="s">
        <v>18</v>
      </c>
      <c r="D1" s="5" t="s">
        <v>21</v>
      </c>
      <c r="E1" s="5" t="s">
        <v>22</v>
      </c>
      <c r="F1" s="5" t="s">
        <v>23</v>
      </c>
    </row>
    <row r="2" spans="1:9" x14ac:dyDescent="0.2">
      <c r="A2" s="8">
        <v>0.55861111111111106</v>
      </c>
      <c r="B2" s="6">
        <v>1.800781</v>
      </c>
      <c r="C2" s="4">
        <v>780</v>
      </c>
      <c r="D2" s="4" t="s">
        <v>24</v>
      </c>
      <c r="E2" s="9">
        <v>0.67</v>
      </c>
      <c r="F2" s="4" t="s">
        <v>25</v>
      </c>
      <c r="H2">
        <f>AVERAGE(C2:C21)</f>
        <v>778.2</v>
      </c>
      <c r="I2">
        <f>91*(1023-H2)/H2</f>
        <v>28.626060138781796</v>
      </c>
    </row>
    <row r="3" spans="1:9" x14ac:dyDescent="0.2">
      <c r="A3" s="8">
        <v>0.55863425925925925</v>
      </c>
      <c r="B3" s="6">
        <v>3.8125</v>
      </c>
      <c r="C3" s="4">
        <v>780</v>
      </c>
      <c r="D3" s="4" t="s">
        <v>26</v>
      </c>
      <c r="E3" s="4" t="s">
        <v>26</v>
      </c>
      <c r="F3" s="4">
        <v>21</v>
      </c>
    </row>
    <row r="4" spans="1:9" x14ac:dyDescent="0.2">
      <c r="A4" s="8">
        <v>0.55865740740740744</v>
      </c>
      <c r="B4" s="6">
        <v>5.8632809999999997</v>
      </c>
      <c r="C4" s="4">
        <v>778</v>
      </c>
      <c r="D4" s="4" t="s">
        <v>26</v>
      </c>
      <c r="E4" s="4" t="s">
        <v>26</v>
      </c>
      <c r="F4" s="4">
        <v>21</v>
      </c>
    </row>
    <row r="5" spans="1:9" x14ac:dyDescent="0.2">
      <c r="A5" s="8">
        <v>0.55868055555555551</v>
      </c>
      <c r="B5" s="6">
        <v>7.90625</v>
      </c>
      <c r="C5" s="4">
        <v>780</v>
      </c>
      <c r="D5" s="4" t="s">
        <v>24</v>
      </c>
      <c r="E5" s="9">
        <v>0.67</v>
      </c>
      <c r="F5" s="4" t="s">
        <v>25</v>
      </c>
    </row>
    <row r="6" spans="1:9" x14ac:dyDescent="0.2">
      <c r="A6" s="8">
        <v>0.5587037037037037</v>
      </c>
      <c r="B6" s="6">
        <v>9.9492189999999994</v>
      </c>
      <c r="C6" s="4">
        <v>775</v>
      </c>
      <c r="D6" s="4" t="s">
        <v>24</v>
      </c>
      <c r="E6" s="9">
        <v>0.67</v>
      </c>
      <c r="F6" s="4" t="s">
        <v>25</v>
      </c>
    </row>
    <row r="7" spans="1:9" x14ac:dyDescent="0.2">
      <c r="A7" s="8">
        <v>0.55872685185185189</v>
      </c>
      <c r="B7" s="6">
        <v>11.98438</v>
      </c>
      <c r="C7" s="4">
        <v>774</v>
      </c>
      <c r="D7" s="4" t="s">
        <v>24</v>
      </c>
      <c r="E7" s="9">
        <v>0.67</v>
      </c>
      <c r="F7" s="4" t="s">
        <v>25</v>
      </c>
    </row>
    <row r="8" spans="1:9" x14ac:dyDescent="0.2">
      <c r="A8" s="8">
        <v>0.55874999999999997</v>
      </c>
      <c r="B8" s="6">
        <v>14.03125</v>
      </c>
      <c r="C8" s="4">
        <v>777</v>
      </c>
      <c r="D8" s="4" t="s">
        <v>24</v>
      </c>
      <c r="E8" s="9">
        <v>0.67</v>
      </c>
      <c r="F8" s="4" t="s">
        <v>25</v>
      </c>
    </row>
    <row r="9" spans="1:9" x14ac:dyDescent="0.2">
      <c r="A9" s="8">
        <v>0.55877314814814816</v>
      </c>
      <c r="B9" s="6">
        <v>16.066410000000001</v>
      </c>
      <c r="C9" s="4">
        <v>777</v>
      </c>
      <c r="D9" s="4" t="s">
        <v>24</v>
      </c>
      <c r="E9" s="9">
        <v>0.67</v>
      </c>
      <c r="F9" s="4" t="s">
        <v>25</v>
      </c>
    </row>
    <row r="10" spans="1:9" x14ac:dyDescent="0.2">
      <c r="A10" s="8">
        <v>0.55879629629629635</v>
      </c>
      <c r="B10" s="6">
        <v>18.117190000000001</v>
      </c>
      <c r="C10" s="4">
        <v>780</v>
      </c>
      <c r="D10" s="4" t="s">
        <v>24</v>
      </c>
      <c r="E10" s="9">
        <v>0.67</v>
      </c>
      <c r="F10" s="4" t="s">
        <v>25</v>
      </c>
    </row>
    <row r="11" spans="1:9" x14ac:dyDescent="0.2">
      <c r="A11" s="8">
        <v>0.55881944444444442</v>
      </c>
      <c r="B11" s="6">
        <v>20.15625</v>
      </c>
      <c r="C11" s="4">
        <v>775</v>
      </c>
      <c r="D11" s="4" t="s">
        <v>24</v>
      </c>
      <c r="E11" s="9">
        <v>0.67</v>
      </c>
      <c r="F11" s="4" t="s">
        <v>25</v>
      </c>
    </row>
    <row r="12" spans="1:9" x14ac:dyDescent="0.2">
      <c r="A12" s="8">
        <v>0.55884259259259261</v>
      </c>
      <c r="B12" s="6">
        <v>22.195309999999999</v>
      </c>
      <c r="C12" s="4">
        <v>777</v>
      </c>
      <c r="D12" s="4" t="s">
        <v>24</v>
      </c>
      <c r="E12" s="9">
        <v>0.67</v>
      </c>
      <c r="F12" s="4" t="s">
        <v>25</v>
      </c>
    </row>
    <row r="13" spans="1:9" x14ac:dyDescent="0.2">
      <c r="A13" s="8">
        <v>0.55886574074074069</v>
      </c>
      <c r="B13" s="6">
        <v>24.222660000000001</v>
      </c>
      <c r="C13" s="4">
        <v>777</v>
      </c>
      <c r="D13" s="4" t="s">
        <v>24</v>
      </c>
      <c r="E13" s="9">
        <v>0.67</v>
      </c>
      <c r="F13" s="4" t="s">
        <v>25</v>
      </c>
    </row>
    <row r="14" spans="1:9" x14ac:dyDescent="0.2">
      <c r="A14" s="8">
        <v>0.55888888888888888</v>
      </c>
      <c r="B14" s="6">
        <v>26.277339999999999</v>
      </c>
      <c r="C14" s="4">
        <v>777</v>
      </c>
      <c r="D14" s="4" t="s">
        <v>24</v>
      </c>
      <c r="E14" s="9">
        <v>0.67</v>
      </c>
      <c r="F14" s="4" t="s">
        <v>25</v>
      </c>
    </row>
    <row r="15" spans="1:9" x14ac:dyDescent="0.2">
      <c r="A15" s="8">
        <v>0.55891203703703707</v>
      </c>
      <c r="B15" s="6">
        <v>28.316410000000001</v>
      </c>
      <c r="C15" s="4">
        <v>780</v>
      </c>
      <c r="D15" s="4" t="s">
        <v>24</v>
      </c>
      <c r="E15" s="9">
        <v>0.67</v>
      </c>
      <c r="F15" s="4" t="s">
        <v>25</v>
      </c>
    </row>
    <row r="16" spans="1:9" x14ac:dyDescent="0.2">
      <c r="A16" s="8">
        <v>0.55893518518518515</v>
      </c>
      <c r="B16" s="6">
        <v>30.347660000000001</v>
      </c>
      <c r="C16" s="4">
        <v>777</v>
      </c>
      <c r="D16" s="4" t="s">
        <v>24</v>
      </c>
      <c r="E16" s="9">
        <v>0.67</v>
      </c>
      <c r="F16" s="4" t="s">
        <v>25</v>
      </c>
    </row>
    <row r="17" spans="1:6" x14ac:dyDescent="0.2">
      <c r="A17" s="8">
        <v>0.55895833333333333</v>
      </c>
      <c r="B17" s="6">
        <v>32.398440000000001</v>
      </c>
      <c r="C17" s="4">
        <v>777</v>
      </c>
      <c r="D17" s="4" t="s">
        <v>24</v>
      </c>
      <c r="E17" s="9">
        <v>0.67</v>
      </c>
      <c r="F17" s="4" t="s">
        <v>25</v>
      </c>
    </row>
    <row r="18" spans="1:6" x14ac:dyDescent="0.2">
      <c r="A18" s="8">
        <v>0.55898148148148152</v>
      </c>
      <c r="B18" s="6">
        <v>34.445309999999999</v>
      </c>
      <c r="C18" s="4">
        <v>781</v>
      </c>
      <c r="D18" s="4" t="s">
        <v>24</v>
      </c>
      <c r="E18" s="9">
        <v>0.67</v>
      </c>
      <c r="F18" s="4" t="s">
        <v>25</v>
      </c>
    </row>
    <row r="19" spans="1:6" x14ac:dyDescent="0.2">
      <c r="A19" s="8">
        <v>0.55901620370370375</v>
      </c>
      <c r="B19" s="6">
        <v>36.472659999999998</v>
      </c>
      <c r="C19" s="4">
        <v>779</v>
      </c>
      <c r="D19" s="4" t="s">
        <v>26</v>
      </c>
      <c r="E19" s="4" t="s">
        <v>26</v>
      </c>
      <c r="F19" s="4">
        <v>21</v>
      </c>
    </row>
    <row r="20" spans="1:6" x14ac:dyDescent="0.2">
      <c r="A20" s="8">
        <v>0.55905092592592598</v>
      </c>
      <c r="B20" s="6">
        <v>39.929690000000001</v>
      </c>
      <c r="C20" s="4">
        <v>783</v>
      </c>
      <c r="D20" s="4" t="s">
        <v>24</v>
      </c>
      <c r="E20" s="9">
        <v>0.67</v>
      </c>
      <c r="F20" s="4" t="s">
        <v>25</v>
      </c>
    </row>
    <row r="21" spans="1:6" x14ac:dyDescent="0.2">
      <c r="A21" s="8">
        <v>0.55906250000000002</v>
      </c>
      <c r="B21" s="6">
        <v>40.558590000000002</v>
      </c>
      <c r="C21" s="4">
        <v>780</v>
      </c>
      <c r="D21" s="4" t="s">
        <v>24</v>
      </c>
      <c r="E21" s="9">
        <v>0.67</v>
      </c>
      <c r="F21" s="4" t="s">
        <v>25</v>
      </c>
    </row>
  </sheetData>
  <phoneticPr fontId="4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1" t="s">
        <v>3</v>
      </c>
      <c r="F3" s="12"/>
    </row>
    <row r="4" spans="2:13" ht="12.75" customHeight="1" x14ac:dyDescent="0.2">
      <c r="B4" s="1" t="s">
        <v>1</v>
      </c>
      <c r="C4" s="3">
        <v>9600</v>
      </c>
      <c r="E4" s="13"/>
      <c r="F4" s="14"/>
    </row>
    <row r="5" spans="2:13" ht="12.75" customHeight="1" x14ac:dyDescent="0.2">
      <c r="B5" s="1" t="s">
        <v>2</v>
      </c>
      <c r="C5" s="2" t="b">
        <v>1</v>
      </c>
      <c r="E5" s="13"/>
      <c r="F5" s="14"/>
    </row>
    <row r="6" spans="2:13" ht="12.75" customHeight="1" x14ac:dyDescent="0.2">
      <c r="B6" s="1" t="s">
        <v>5</v>
      </c>
      <c r="C6" s="2" t="b">
        <v>1</v>
      </c>
      <c r="E6" s="13"/>
      <c r="F6" s="14"/>
    </row>
    <row r="7" spans="2:13" ht="12.75" customHeight="1" x14ac:dyDescent="0.2">
      <c r="B7" s="1" t="s">
        <v>6</v>
      </c>
      <c r="C7" s="2" t="b">
        <v>1</v>
      </c>
      <c r="E7" s="13"/>
      <c r="F7" s="14"/>
      <c r="M7" s="1"/>
    </row>
    <row r="8" spans="2:13" ht="12.75" customHeight="1" x14ac:dyDescent="0.2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">
      <c r="B9" s="1" t="s">
        <v>4</v>
      </c>
      <c r="C9" s="3" t="s">
        <v>36</v>
      </c>
      <c r="E9" s="13"/>
      <c r="F9" s="14"/>
      <c r="M9" s="1"/>
    </row>
    <row r="10" spans="2:13" ht="13.5" customHeight="1" x14ac:dyDescent="0.2">
      <c r="B10" s="1" t="s">
        <v>9</v>
      </c>
      <c r="C10" s="2" t="b">
        <v>1</v>
      </c>
      <c r="E10" s="13"/>
      <c r="F10" s="14"/>
    </row>
    <row r="11" spans="2:13" ht="13.5" customHeight="1" x14ac:dyDescent="0.2">
      <c r="B11" s="1" t="s">
        <v>8</v>
      </c>
      <c r="C11" s="2" t="b">
        <v>1</v>
      </c>
      <c r="E11" s="13"/>
      <c r="F11" s="14"/>
    </row>
    <row r="12" spans="2:13" ht="12.75" customHeight="1" x14ac:dyDescent="0.2">
      <c r="B12" s="1" t="s">
        <v>10</v>
      </c>
      <c r="C12" s="2" t="b">
        <v>1</v>
      </c>
      <c r="E12" s="13"/>
      <c r="F12" s="14"/>
    </row>
    <row r="13" spans="2:13" ht="12.75" customHeight="1" x14ac:dyDescent="0.2">
      <c r="B13" s="1" t="s">
        <v>11</v>
      </c>
      <c r="C13" s="2" t="b">
        <v>1</v>
      </c>
      <c r="E13" s="13"/>
      <c r="F13" s="14"/>
    </row>
    <row r="14" spans="2:13" ht="13.5" customHeight="1" x14ac:dyDescent="0.2">
      <c r="B14" s="1" t="s">
        <v>12</v>
      </c>
      <c r="C14" s="2">
        <v>536.25</v>
      </c>
      <c r="E14" s="13"/>
      <c r="F14" s="14"/>
    </row>
    <row r="15" spans="2:13" x14ac:dyDescent="0.2">
      <c r="B15" s="1" t="s">
        <v>13</v>
      </c>
      <c r="C15" s="3">
        <v>1024</v>
      </c>
      <c r="E15" s="13"/>
      <c r="F15" s="14"/>
    </row>
    <row r="16" spans="2:13" x14ac:dyDescent="0.2">
      <c r="B16" s="1" t="s">
        <v>14</v>
      </c>
      <c r="C16" s="3">
        <v>1024</v>
      </c>
      <c r="E16" s="13"/>
      <c r="F16" s="14"/>
    </row>
    <row r="17" spans="2:6" x14ac:dyDescent="0.2">
      <c r="B17" s="1" t="s">
        <v>15</v>
      </c>
      <c r="C17" s="3">
        <v>1024</v>
      </c>
      <c r="E17" s="13"/>
      <c r="F17" s="14"/>
    </row>
    <row r="18" spans="2:6" ht="13.5" thickBot="1" x14ac:dyDescent="0.25">
      <c r="B18" s="1" t="s">
        <v>16</v>
      </c>
      <c r="C18" s="3">
        <v>64</v>
      </c>
      <c r="E18" s="15"/>
      <c r="F18" s="16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溫度</vt:lpstr>
      <vt:lpstr>A2</vt:lpstr>
      <vt:lpstr>B2</vt:lpstr>
      <vt:lpstr>A2搖晃</vt:lpstr>
      <vt:lpstr>B2搖晃</vt:lpstr>
      <vt:lpstr>A3搖晃</vt:lpstr>
      <vt:lpstr>B3搖晃</vt:lpstr>
      <vt:lpstr>A4搖晃</vt:lpstr>
      <vt:lpstr>B4搖晃</vt:lpstr>
      <vt:lpstr>test</vt:lpstr>
      <vt:lpstr>標準</vt:lpstr>
      <vt:lpstr>A3</vt:lpstr>
      <vt:lpstr>B3</vt:lpstr>
      <vt:lpstr>A4</vt:lpstr>
      <vt:lpstr>B4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2026-09-03T06:46:20Z</dcterms:modified>
</cp:coreProperties>
</file>