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6314DEBD-0CAF-44D2-B8C1-651C1F1A15FA}" xr6:coauthVersionLast="47" xr6:coauthVersionMax="47" xr10:uidLastSave="{00000000-0000-0000-0000-000000000000}"/>
  <bookViews>
    <workbookView xWindow="-120" yWindow="-120" windowWidth="20730" windowHeight="11160" tabRatio="795" activeTab="6" xr2:uid="{00000000-000D-0000-FFFF-FFFF00000000}"/>
  </bookViews>
  <sheets>
    <sheet name="溫度" sheetId="36" r:id="rId1"/>
    <sheet name="空白升溫30" sheetId="37" r:id="rId2"/>
    <sheet name="空白升溫40" sheetId="38" r:id="rId3"/>
    <sheet name="空白升溫50" sheetId="39" r:id="rId4"/>
    <sheet name="空白升溫60" sheetId="40" r:id="rId5"/>
    <sheet name="空白升溫70" sheetId="41" r:id="rId6"/>
    <sheet name="空白升溫80" sheetId="42" r:id="rId7"/>
    <sheet name="PLXDAQ_new_Settings" sheetId="6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6" l="1"/>
  <c r="I2" i="6"/>
  <c r="I3" i="42"/>
  <c r="I2" i="42"/>
  <c r="I3" i="41"/>
  <c r="I2" i="41"/>
  <c r="I3" i="40"/>
  <c r="I2" i="40"/>
  <c r="I3" i="39"/>
  <c r="I2" i="39"/>
  <c r="I3" i="38"/>
  <c r="I2" i="38"/>
  <c r="I3" i="37"/>
  <c r="I2" i="37"/>
</calcChain>
</file>

<file path=xl/sharedStrings.xml><?xml version="1.0" encoding="utf-8"?>
<sst xmlns="http://schemas.openxmlformats.org/spreadsheetml/2006/main" count="411" uniqueCount="30">
  <si>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</si>
  <si>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</si>
  <si>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</si>
  <si>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</si>
  <si>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</si>
  <si>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</si>
  <si>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</si>
  <si>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</si>
  <si>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</si>
  <si>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</si>
  <si>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</si>
  <si>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</si>
  <si>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</si>
  <si>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</si>
  <si>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</si>
  <si>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</si>
  <si>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</si>
  <si>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</si>
  <si>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</si>
  <si>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</si>
  <si>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</si>
  <si>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</si>
  <si>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</si>
  <si>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</si>
  <si>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</si>
  <si>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26.00 C</t>
  </si>
  <si>
    <t>NULL</t>
  </si>
  <si>
    <t>Error</t>
  </si>
  <si>
    <t>25.00 C</t>
  </si>
  <si>
    <t>空白升溫80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</si>
</sst>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1"/>
  <sheetViews>
    <sheetView workbookViewId="0">
      <selection activeCell="H7" sqref="H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46322</v>
      </c>
      <c r="B2" s="9">
        <v>0.68369212962962966</v>
      </c>
      <c r="C2" s="6">
        <v>1.878906</v>
      </c>
      <c r="D2" s="4">
        <v>2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46322</v>
      </c>
      <c r="B3" s="9">
        <v>0.68369212962962966</v>
      </c>
      <c r="C3" s="6">
        <v>2.2695310000000002</v>
      </c>
      <c r="D3" s="4">
        <v>0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46322</v>
      </c>
      <c r="B4" s="9">
        <v>0.6837037037037037</v>
      </c>
      <c r="C4" s="6">
        <v>2.7695310000000002</v>
      </c>
      <c r="D4" s="4">
        <v>1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46322</v>
      </c>
      <c r="B5" s="9">
        <v>0.6837037037037037</v>
      </c>
      <c r="C5" s="6">
        <v>3.4414060000000002</v>
      </c>
      <c r="D5" s="4">
        <v>0</v>
      </c>
      <c r="E5" s="4" t="s">
        <v>25</v>
      </c>
      <c r="F5" s="10">
        <v>0.61</v>
      </c>
      <c r="G5" s="4" t="s">
        <v>26</v>
      </c>
    </row>
    <row r="6" spans="1:7" x14ac:dyDescent="0.2">
      <c r="A6" s="8">
        <v>46322</v>
      </c>
      <c r="B6" s="9">
        <v>0.68371527777777774</v>
      </c>
      <c r="C6" s="6">
        <v>3.8203130000000001</v>
      </c>
      <c r="D6" s="4">
        <v>0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46322</v>
      </c>
      <c r="B7" s="9">
        <v>0.68371527777777774</v>
      </c>
      <c r="C7" s="6">
        <v>4.3203129999999996</v>
      </c>
      <c r="D7" s="4">
        <v>0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46322</v>
      </c>
      <c r="B8" s="9">
        <v>0.68372685185185189</v>
      </c>
      <c r="C8" s="6">
        <v>4.8164059999999997</v>
      </c>
      <c r="D8" s="4">
        <v>0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46322</v>
      </c>
      <c r="B9" s="9">
        <v>0.68372685185185189</v>
      </c>
      <c r="C9" s="6">
        <v>5.3164059999999997</v>
      </c>
      <c r="D9" s="4">
        <v>0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46322</v>
      </c>
      <c r="B10" s="9">
        <v>0.68373842592592593</v>
      </c>
      <c r="C10" s="6">
        <v>5.8320309999999997</v>
      </c>
      <c r="D10" s="4">
        <v>0</v>
      </c>
      <c r="E10" s="4" t="s">
        <v>25</v>
      </c>
      <c r="F10" s="10">
        <v>0.59</v>
      </c>
      <c r="G10" s="4" t="s">
        <v>26</v>
      </c>
    </row>
    <row r="11" spans="1:7" x14ac:dyDescent="0.2">
      <c r="A11" s="8">
        <v>46322</v>
      </c>
      <c r="B11" s="9">
        <v>0.68373842592592593</v>
      </c>
      <c r="C11" s="6">
        <v>6.3632809999999997</v>
      </c>
      <c r="D11" s="4">
        <v>0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46322</v>
      </c>
      <c r="B12" s="9">
        <v>0.68374999999999997</v>
      </c>
      <c r="C12" s="6">
        <v>6.8632809999999997</v>
      </c>
      <c r="D12" s="4">
        <v>0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46322</v>
      </c>
      <c r="B13" s="9">
        <v>0.68374999999999997</v>
      </c>
      <c r="C13" s="6">
        <v>7.3632809999999997</v>
      </c>
      <c r="D13" s="4">
        <v>0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46322</v>
      </c>
      <c r="B14" s="9">
        <v>0.68376157407407412</v>
      </c>
      <c r="C14" s="6">
        <v>7.8632809999999997</v>
      </c>
      <c r="D14" s="4">
        <v>0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46322</v>
      </c>
      <c r="B15" s="9">
        <v>0.68376157407407412</v>
      </c>
      <c r="C15" s="6">
        <v>8.3789060000000006</v>
      </c>
      <c r="D15" s="4">
        <v>1</v>
      </c>
      <c r="E15" s="4" t="s">
        <v>25</v>
      </c>
      <c r="F15" s="10">
        <v>0.59</v>
      </c>
      <c r="G15" s="4" t="s">
        <v>26</v>
      </c>
    </row>
    <row r="16" spans="1:7" x14ac:dyDescent="0.2">
      <c r="A16" s="8">
        <v>46322</v>
      </c>
      <c r="B16" s="9">
        <v>0.68377314814814816</v>
      </c>
      <c r="C16" s="6">
        <v>8.8945310000000006</v>
      </c>
      <c r="D16" s="4">
        <v>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46322</v>
      </c>
      <c r="B17" s="9">
        <v>0.68377314814814816</v>
      </c>
      <c r="C17" s="6">
        <v>9.3945310000000006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46322</v>
      </c>
      <c r="B18" s="9">
        <v>0.6837847222222222</v>
      </c>
      <c r="C18" s="6">
        <v>9.8945310000000006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46322</v>
      </c>
      <c r="B19" s="9">
        <v>0.6837847222222222</v>
      </c>
      <c r="C19" s="6">
        <v>10.39453</v>
      </c>
      <c r="D19" s="4">
        <v>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46322</v>
      </c>
      <c r="B20" s="9">
        <v>0.68379629629629635</v>
      </c>
      <c r="C20" s="6">
        <v>11.42578</v>
      </c>
      <c r="D20" s="4">
        <v>0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46322</v>
      </c>
      <c r="B21" s="9">
        <v>0.68380787037037039</v>
      </c>
      <c r="C21" s="6">
        <v>11.941409999999999</v>
      </c>
      <c r="D21" s="4">
        <v>0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4E5F-095F-4ED7-81B9-BFD2477C5D17}">
  <dimension ref="A1:I21"/>
  <sheetViews>
    <sheetView workbookViewId="0">
      <selection activeCell="J27" sqref="J2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0.68459490740740736</v>
      </c>
      <c r="C2" s="6">
        <v>1.8125</v>
      </c>
      <c r="D2" s="4">
        <v>829</v>
      </c>
      <c r="E2" s="4" t="s">
        <v>24</v>
      </c>
      <c r="F2" s="4" t="s">
        <v>24</v>
      </c>
      <c r="G2" s="4" t="s">
        <v>24</v>
      </c>
      <c r="I2">
        <f>AVERAGE(D2:D21)</f>
        <v>825</v>
      </c>
    </row>
    <row r="3" spans="1:9" x14ac:dyDescent="0.2">
      <c r="A3" s="8">
        <v>46322</v>
      </c>
      <c r="B3" s="9">
        <v>0.68459490740740736</v>
      </c>
      <c r="C3" s="6">
        <v>2.28125</v>
      </c>
      <c r="D3" s="4">
        <v>830</v>
      </c>
      <c r="E3" s="4" t="s">
        <v>24</v>
      </c>
      <c r="F3" s="4" t="s">
        <v>24</v>
      </c>
      <c r="G3" s="4" t="s">
        <v>24</v>
      </c>
      <c r="I3">
        <f>91*(1023-I2)/I2</f>
        <v>21.84</v>
      </c>
    </row>
    <row r="4" spans="1:9" x14ac:dyDescent="0.2">
      <c r="A4" s="8">
        <v>46322</v>
      </c>
      <c r="B4" s="9">
        <v>0.68460648148148151</v>
      </c>
      <c r="C4" s="6">
        <v>2.78125</v>
      </c>
      <c r="D4" s="4">
        <v>828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0.68460648148148151</v>
      </c>
      <c r="C5" s="6">
        <v>3.296875</v>
      </c>
      <c r="D5" s="4">
        <v>829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46322</v>
      </c>
      <c r="B6" s="9">
        <v>0.68461805555555555</v>
      </c>
      <c r="C6" s="6">
        <v>3.828125</v>
      </c>
      <c r="D6" s="4">
        <v>828</v>
      </c>
      <c r="E6" s="4" t="s">
        <v>27</v>
      </c>
      <c r="F6" s="4" t="s">
        <v>27</v>
      </c>
      <c r="G6" s="4">
        <v>3088</v>
      </c>
    </row>
    <row r="7" spans="1:9" x14ac:dyDescent="0.2">
      <c r="A7" s="8">
        <v>46322</v>
      </c>
      <c r="B7" s="9">
        <v>0.68461805555555555</v>
      </c>
      <c r="C7" s="6">
        <v>4.34375</v>
      </c>
      <c r="D7" s="4">
        <v>828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46322</v>
      </c>
      <c r="B8" s="9">
        <v>0.68462962962962959</v>
      </c>
      <c r="C8" s="6">
        <v>4.875</v>
      </c>
      <c r="D8" s="4">
        <v>826</v>
      </c>
      <c r="E8" s="4" t="s">
        <v>27</v>
      </c>
      <c r="F8" s="4" t="s">
        <v>27</v>
      </c>
      <c r="G8" s="4">
        <v>21</v>
      </c>
    </row>
    <row r="9" spans="1:9" x14ac:dyDescent="0.2">
      <c r="A9" s="8">
        <v>46322</v>
      </c>
      <c r="B9" s="9">
        <v>0.68462962962962959</v>
      </c>
      <c r="C9" s="6">
        <v>5.40625</v>
      </c>
      <c r="D9" s="4">
        <v>826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46322</v>
      </c>
      <c r="B10" s="9">
        <v>0.68464120370370374</v>
      </c>
      <c r="C10" s="6">
        <v>5.921875</v>
      </c>
      <c r="D10" s="4">
        <v>824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46322</v>
      </c>
      <c r="B11" s="9">
        <v>0.68464120370370374</v>
      </c>
      <c r="C11" s="6">
        <v>6.46875</v>
      </c>
      <c r="D11" s="4">
        <v>824</v>
      </c>
      <c r="E11" s="4" t="s">
        <v>27</v>
      </c>
      <c r="F11" s="4" t="s">
        <v>27</v>
      </c>
      <c r="G11" s="4">
        <v>21</v>
      </c>
    </row>
    <row r="12" spans="1:9" x14ac:dyDescent="0.2">
      <c r="A12" s="8">
        <v>46322</v>
      </c>
      <c r="B12" s="9">
        <v>0.68465277777777778</v>
      </c>
      <c r="C12" s="6">
        <v>6.984375</v>
      </c>
      <c r="D12" s="4">
        <v>823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46322</v>
      </c>
      <c r="B13" s="9">
        <v>0.68465277777777778</v>
      </c>
      <c r="C13" s="6">
        <v>7.515625</v>
      </c>
      <c r="D13" s="4">
        <v>822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0.68466435185185182</v>
      </c>
      <c r="C14" s="6">
        <v>8.546875</v>
      </c>
      <c r="D14" s="4">
        <v>825</v>
      </c>
      <c r="E14" s="4" t="s">
        <v>27</v>
      </c>
      <c r="F14" s="4" t="s">
        <v>27</v>
      </c>
      <c r="G14" s="4">
        <v>-237</v>
      </c>
    </row>
    <row r="15" spans="1:9" x14ac:dyDescent="0.2">
      <c r="A15" s="8">
        <v>46322</v>
      </c>
      <c r="B15" s="9">
        <v>0.68467592592592597</v>
      </c>
      <c r="C15" s="6">
        <v>9.078125</v>
      </c>
      <c r="D15" s="4">
        <v>824</v>
      </c>
      <c r="E15" s="4" t="s">
        <v>27</v>
      </c>
      <c r="F15" s="4" t="s">
        <v>27</v>
      </c>
      <c r="G15" s="4">
        <v>3088</v>
      </c>
    </row>
    <row r="16" spans="1:9" x14ac:dyDescent="0.2">
      <c r="A16" s="8">
        <v>46322</v>
      </c>
      <c r="B16" s="9">
        <v>0.6846875</v>
      </c>
      <c r="C16" s="6">
        <v>10.10938</v>
      </c>
      <c r="D16" s="4">
        <v>824</v>
      </c>
      <c r="E16" s="4" t="s">
        <v>27</v>
      </c>
      <c r="F16" s="4" t="s">
        <v>27</v>
      </c>
      <c r="G16" s="4">
        <v>-237</v>
      </c>
    </row>
    <row r="17" spans="1:7" x14ac:dyDescent="0.2">
      <c r="A17" s="8">
        <v>46322</v>
      </c>
      <c r="B17" s="9">
        <v>0.6846875</v>
      </c>
      <c r="C17" s="6">
        <v>10.64063</v>
      </c>
      <c r="D17" s="4">
        <v>821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46322</v>
      </c>
      <c r="B18" s="9">
        <v>0.68469907407407404</v>
      </c>
      <c r="C18" s="6">
        <v>11.17188</v>
      </c>
      <c r="D18" s="4">
        <v>824</v>
      </c>
      <c r="E18" s="4" t="s">
        <v>27</v>
      </c>
      <c r="F18" s="4" t="s">
        <v>27</v>
      </c>
      <c r="G18" s="4">
        <v>21</v>
      </c>
    </row>
    <row r="19" spans="1:7" x14ac:dyDescent="0.2">
      <c r="A19" s="8">
        <v>46322</v>
      </c>
      <c r="B19" s="9">
        <v>0.68469907407407404</v>
      </c>
      <c r="C19" s="6">
        <v>11.683590000000001</v>
      </c>
      <c r="D19" s="4">
        <v>823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46322</v>
      </c>
      <c r="B20" s="9">
        <v>0.68471064814814819</v>
      </c>
      <c r="C20" s="6">
        <v>12.214840000000001</v>
      </c>
      <c r="D20" s="4">
        <v>823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46322</v>
      </c>
      <c r="B21" s="9">
        <v>0.68472222222222223</v>
      </c>
      <c r="C21" s="6">
        <v>12.75</v>
      </c>
      <c r="D21" s="4">
        <v>819</v>
      </c>
      <c r="E21" s="4" t="s">
        <v>25</v>
      </c>
      <c r="F21" s="10">
        <v>0.57999999999999996</v>
      </c>
      <c r="G21" s="4" t="s">
        <v>26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ED676-8ECE-4AA6-9CB6-4957C9E7033D}">
  <dimension ref="A1:I21"/>
  <sheetViews>
    <sheetView workbookViewId="0">
      <selection activeCell="H6" sqref="H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0.68518518518518523</v>
      </c>
      <c r="C2" s="6">
        <v>1.796875</v>
      </c>
      <c r="D2" s="4">
        <v>779</v>
      </c>
      <c r="E2" s="4" t="s">
        <v>24</v>
      </c>
      <c r="F2" s="4" t="s">
        <v>24</v>
      </c>
      <c r="G2" s="4" t="s">
        <v>24</v>
      </c>
      <c r="I2">
        <f>AVERAGE(D2:D21)</f>
        <v>777.75</v>
      </c>
    </row>
    <row r="3" spans="1:9" x14ac:dyDescent="0.2">
      <c r="A3" s="8">
        <v>46322</v>
      </c>
      <c r="B3" s="9">
        <v>0.68519675925925927</v>
      </c>
      <c r="C3" s="6">
        <v>2.28125</v>
      </c>
      <c r="D3" s="4">
        <v>779</v>
      </c>
      <c r="E3" s="4" t="s">
        <v>24</v>
      </c>
      <c r="F3" s="4" t="s">
        <v>24</v>
      </c>
      <c r="G3" s="4" t="s">
        <v>24</v>
      </c>
      <c r="I3">
        <f>91*(1023-I2)/I2</f>
        <v>28.695274831243974</v>
      </c>
    </row>
    <row r="4" spans="1:9" x14ac:dyDescent="0.2">
      <c r="A4" s="8">
        <v>46322</v>
      </c>
      <c r="B4" s="9">
        <v>0.68519675925925927</v>
      </c>
      <c r="C4" s="6">
        <v>2.78125</v>
      </c>
      <c r="D4" s="4">
        <v>779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0.68520833333333331</v>
      </c>
      <c r="C5" s="6">
        <v>3.28125</v>
      </c>
      <c r="D5" s="4">
        <v>776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46322</v>
      </c>
      <c r="B6" s="9">
        <v>0.68520833333333331</v>
      </c>
      <c r="C6" s="6">
        <v>3.8125</v>
      </c>
      <c r="D6" s="4">
        <v>776</v>
      </c>
      <c r="E6" s="4" t="s">
        <v>27</v>
      </c>
      <c r="F6" s="4" t="s">
        <v>27</v>
      </c>
      <c r="G6" s="4">
        <v>5136</v>
      </c>
    </row>
    <row r="7" spans="1:9" x14ac:dyDescent="0.2">
      <c r="A7" s="8">
        <v>46322</v>
      </c>
      <c r="B7" s="9">
        <v>0.68521990740740746</v>
      </c>
      <c r="C7" s="6">
        <v>4.34375</v>
      </c>
      <c r="D7" s="4">
        <v>776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46322</v>
      </c>
      <c r="B8" s="9">
        <v>0.6852314814814815</v>
      </c>
      <c r="C8" s="6">
        <v>5.375</v>
      </c>
      <c r="D8" s="4">
        <v>778</v>
      </c>
      <c r="E8" s="4" t="s">
        <v>27</v>
      </c>
      <c r="F8" s="4" t="s">
        <v>27</v>
      </c>
      <c r="G8" s="4">
        <v>-237</v>
      </c>
    </row>
    <row r="9" spans="1:9" x14ac:dyDescent="0.2">
      <c r="A9" s="8">
        <v>46322</v>
      </c>
      <c r="B9" s="9">
        <v>0.6852314814814815</v>
      </c>
      <c r="C9" s="6">
        <v>5.90625</v>
      </c>
      <c r="D9" s="4">
        <v>778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46322</v>
      </c>
      <c r="B10" s="9">
        <v>0.68524305555555554</v>
      </c>
      <c r="C10" s="6">
        <v>6.9375</v>
      </c>
      <c r="D10" s="4">
        <v>780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46322</v>
      </c>
      <c r="B11" s="9">
        <v>0.68525462962962957</v>
      </c>
      <c r="C11" s="6">
        <v>7.46875</v>
      </c>
      <c r="D11" s="4">
        <v>778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46322</v>
      </c>
      <c r="B12" s="9">
        <v>0.68526620370370372</v>
      </c>
      <c r="C12" s="6">
        <v>8.5</v>
      </c>
      <c r="D12" s="4">
        <v>777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46322</v>
      </c>
      <c r="B13" s="9">
        <v>0.68527777777777776</v>
      </c>
      <c r="C13" s="6">
        <v>9.03125</v>
      </c>
      <c r="D13" s="4">
        <v>779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0.68527777777777776</v>
      </c>
      <c r="C14" s="6">
        <v>9.5625</v>
      </c>
      <c r="D14" s="4">
        <v>780</v>
      </c>
      <c r="E14" s="4" t="s">
        <v>28</v>
      </c>
      <c r="F14" s="10">
        <v>0.56999999999999995</v>
      </c>
      <c r="G14" s="4" t="s">
        <v>26</v>
      </c>
    </row>
    <row r="15" spans="1:9" x14ac:dyDescent="0.2">
      <c r="A15" s="8">
        <v>46322</v>
      </c>
      <c r="B15" s="9">
        <v>0.6852893518518518</v>
      </c>
      <c r="C15" s="6">
        <v>10.085940000000001</v>
      </c>
      <c r="D15" s="4">
        <v>775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46322</v>
      </c>
      <c r="B16" s="9">
        <v>0.6852893518518518</v>
      </c>
      <c r="C16" s="6">
        <v>10.585940000000001</v>
      </c>
      <c r="D16" s="4">
        <v>776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46322</v>
      </c>
      <c r="B17" s="9">
        <v>0.68530092592592595</v>
      </c>
      <c r="C17" s="6">
        <v>11.085940000000001</v>
      </c>
      <c r="D17" s="4">
        <v>778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46322</v>
      </c>
      <c r="B18" s="9">
        <v>0.68530092592592595</v>
      </c>
      <c r="C18" s="6">
        <v>11.585940000000001</v>
      </c>
      <c r="D18" s="4">
        <v>779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46322</v>
      </c>
      <c r="B19" s="9">
        <v>0.68531249999999999</v>
      </c>
      <c r="C19" s="6">
        <v>12.601559999999999</v>
      </c>
      <c r="D19" s="4">
        <v>776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46322</v>
      </c>
      <c r="B20" s="9">
        <v>0.68532407407407403</v>
      </c>
      <c r="C20" s="6">
        <v>13.132809999999999</v>
      </c>
      <c r="D20" s="4">
        <v>780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46322</v>
      </c>
      <c r="B21" s="9">
        <v>0.68532407407407403</v>
      </c>
      <c r="C21" s="6">
        <v>13.664059999999999</v>
      </c>
      <c r="D21" s="4">
        <v>776</v>
      </c>
      <c r="E21" s="4" t="s">
        <v>28</v>
      </c>
      <c r="F21" s="10">
        <v>0.56999999999999995</v>
      </c>
      <c r="G21" s="4" t="s">
        <v>26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2B58-C166-4FFF-ADD2-7AEA5D5BA72A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0.68559027777777781</v>
      </c>
      <c r="C2" s="6">
        <v>1.796875</v>
      </c>
      <c r="D2" s="4">
        <v>766</v>
      </c>
      <c r="E2" s="4" t="s">
        <v>24</v>
      </c>
      <c r="F2" s="4" t="s">
        <v>24</v>
      </c>
      <c r="G2" s="4" t="s">
        <v>24</v>
      </c>
      <c r="I2">
        <f>AVERAGE(D2:D21)</f>
        <v>760.25</v>
      </c>
    </row>
    <row r="3" spans="1:9" x14ac:dyDescent="0.2">
      <c r="A3" s="8">
        <v>46322</v>
      </c>
      <c r="B3" s="9">
        <v>0.68560185185185185</v>
      </c>
      <c r="C3" s="6">
        <v>2.28125</v>
      </c>
      <c r="D3" s="4">
        <v>764</v>
      </c>
      <c r="E3" s="4" t="s">
        <v>24</v>
      </c>
      <c r="F3" s="4" t="s">
        <v>24</v>
      </c>
      <c r="G3" s="4" t="s">
        <v>24</v>
      </c>
      <c r="I3">
        <f>91*(1023-I2)/I2</f>
        <v>31.450509700756331</v>
      </c>
    </row>
    <row r="4" spans="1:9" x14ac:dyDescent="0.2">
      <c r="A4" s="8">
        <v>46322</v>
      </c>
      <c r="B4" s="9">
        <v>0.68560185185185185</v>
      </c>
      <c r="C4" s="6">
        <v>2.78125</v>
      </c>
      <c r="D4" s="4">
        <v>762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0.68561342592592589</v>
      </c>
      <c r="C5" s="6">
        <v>3.28125</v>
      </c>
      <c r="D5" s="4">
        <v>764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46322</v>
      </c>
      <c r="B6" s="9">
        <v>0.68561342592592589</v>
      </c>
      <c r="C6" s="6">
        <v>3.828125</v>
      </c>
      <c r="D6" s="4">
        <v>759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46322</v>
      </c>
      <c r="B7" s="9">
        <v>0.68562500000000004</v>
      </c>
      <c r="C7" s="6">
        <v>4.3398440000000003</v>
      </c>
      <c r="D7" s="4">
        <v>762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46322</v>
      </c>
      <c r="B8" s="9">
        <v>0.68562500000000004</v>
      </c>
      <c r="C8" s="6">
        <v>4.8828129999999996</v>
      </c>
      <c r="D8" s="4">
        <v>763</v>
      </c>
      <c r="E8" s="4" t="s">
        <v>27</v>
      </c>
      <c r="F8" s="4" t="s">
        <v>27</v>
      </c>
      <c r="G8" s="4">
        <v>21</v>
      </c>
    </row>
    <row r="9" spans="1:9" x14ac:dyDescent="0.2">
      <c r="A9" s="8">
        <v>46322</v>
      </c>
      <c r="B9" s="9">
        <v>0.68563657407407408</v>
      </c>
      <c r="C9" s="6">
        <v>5.4101559999999997</v>
      </c>
      <c r="D9" s="4">
        <v>758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46322</v>
      </c>
      <c r="B10" s="9">
        <v>0.68563657407407408</v>
      </c>
      <c r="C10" s="6">
        <v>5.9296879999999996</v>
      </c>
      <c r="D10" s="4">
        <v>763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46322</v>
      </c>
      <c r="B11" s="9">
        <v>0.68564814814814812</v>
      </c>
      <c r="C11" s="6">
        <v>6.4648440000000003</v>
      </c>
      <c r="D11" s="4">
        <v>761</v>
      </c>
      <c r="E11" s="4" t="s">
        <v>27</v>
      </c>
      <c r="F11" s="4" t="s">
        <v>27</v>
      </c>
      <c r="G11" s="4">
        <v>21</v>
      </c>
    </row>
    <row r="12" spans="1:9" x14ac:dyDescent="0.2">
      <c r="A12" s="8">
        <v>46322</v>
      </c>
      <c r="B12" s="9">
        <v>0.68564814814814812</v>
      </c>
      <c r="C12" s="6">
        <v>6.9921879999999996</v>
      </c>
      <c r="D12" s="4">
        <v>761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46322</v>
      </c>
      <c r="B13" s="9">
        <v>0.68565972222222227</v>
      </c>
      <c r="C13" s="6">
        <v>7.5039059999999997</v>
      </c>
      <c r="D13" s="4">
        <v>761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0.68565972222222227</v>
      </c>
      <c r="C14" s="6">
        <v>8.0390630000000005</v>
      </c>
      <c r="D14" s="4">
        <v>761</v>
      </c>
      <c r="E14" s="4" t="s">
        <v>27</v>
      </c>
      <c r="F14" s="4" t="s">
        <v>27</v>
      </c>
      <c r="G14" s="4">
        <v>21</v>
      </c>
    </row>
    <row r="15" spans="1:9" x14ac:dyDescent="0.2">
      <c r="A15" s="8">
        <v>46322</v>
      </c>
      <c r="B15" s="9">
        <v>0.68567129629629631</v>
      </c>
      <c r="C15" s="6">
        <v>8.5703130000000005</v>
      </c>
      <c r="D15" s="4">
        <v>756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46322</v>
      </c>
      <c r="B16" s="9">
        <v>0.68568287037037035</v>
      </c>
      <c r="C16" s="6">
        <v>9.0859380000000005</v>
      </c>
      <c r="D16" s="4">
        <v>758</v>
      </c>
      <c r="E16" s="4" t="s">
        <v>27</v>
      </c>
      <c r="F16" s="4" t="s">
        <v>27</v>
      </c>
      <c r="G16" s="4">
        <v>3088</v>
      </c>
    </row>
    <row r="17" spans="1:7" x14ac:dyDescent="0.2">
      <c r="A17" s="8">
        <v>46322</v>
      </c>
      <c r="B17" s="9">
        <v>0.6856944444444445</v>
      </c>
      <c r="C17" s="6">
        <v>10.117190000000001</v>
      </c>
      <c r="D17" s="4">
        <v>756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46322</v>
      </c>
      <c r="B18" s="9">
        <v>0.6856944444444445</v>
      </c>
      <c r="C18" s="6">
        <v>10.64453</v>
      </c>
      <c r="D18" s="4">
        <v>757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46322</v>
      </c>
      <c r="B19" s="9">
        <v>0.68570601851851853</v>
      </c>
      <c r="C19" s="6">
        <v>11.1875</v>
      </c>
      <c r="D19" s="4">
        <v>757</v>
      </c>
      <c r="E19" s="4" t="s">
        <v>28</v>
      </c>
      <c r="F19" s="10">
        <v>0.57999999999999996</v>
      </c>
      <c r="G19" s="4" t="s">
        <v>26</v>
      </c>
    </row>
    <row r="20" spans="1:7" x14ac:dyDescent="0.2">
      <c r="A20" s="8">
        <v>46322</v>
      </c>
      <c r="B20" s="9">
        <v>0.68570601851851853</v>
      </c>
      <c r="C20" s="6">
        <v>11.70313</v>
      </c>
      <c r="D20" s="4">
        <v>756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46322</v>
      </c>
      <c r="B21" s="9">
        <v>0.68571759259259257</v>
      </c>
      <c r="C21" s="6">
        <v>12.20313</v>
      </c>
      <c r="D21" s="4">
        <v>760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5DC1E-3D22-485B-82A8-115059EF8350}">
  <dimension ref="A1:I21"/>
  <sheetViews>
    <sheetView workbookViewId="0">
      <selection activeCell="F16" sqref="F1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0.68694444444444447</v>
      </c>
      <c r="C2" s="6">
        <v>1.8125</v>
      </c>
      <c r="D2" s="4">
        <v>779</v>
      </c>
      <c r="E2" s="4" t="s">
        <v>24</v>
      </c>
      <c r="F2" s="4" t="s">
        <v>24</v>
      </c>
      <c r="G2" s="4" t="s">
        <v>24</v>
      </c>
      <c r="I2">
        <f>AVERAGE(D2:D21)</f>
        <v>777.55</v>
      </c>
    </row>
    <row r="3" spans="1:9" x14ac:dyDescent="0.2">
      <c r="A3" s="8">
        <v>46322</v>
      </c>
      <c r="B3" s="9">
        <v>0.68695601851851851</v>
      </c>
      <c r="C3" s="6">
        <v>2.28125</v>
      </c>
      <c r="D3" s="4">
        <v>779</v>
      </c>
      <c r="E3" s="4" t="s">
        <v>24</v>
      </c>
      <c r="F3" s="4" t="s">
        <v>24</v>
      </c>
      <c r="G3" s="4" t="s">
        <v>24</v>
      </c>
      <c r="I3">
        <f>91*(1023-I2)/I2</f>
        <v>28.726062632628135</v>
      </c>
    </row>
    <row r="4" spans="1:9" x14ac:dyDescent="0.2">
      <c r="A4" s="8">
        <v>46322</v>
      </c>
      <c r="B4" s="9">
        <v>0.68695601851851851</v>
      </c>
      <c r="C4" s="6">
        <v>2.7851560000000002</v>
      </c>
      <c r="D4" s="4">
        <v>780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0.68696759259259255</v>
      </c>
      <c r="C5" s="6">
        <v>3.3007810000000002</v>
      </c>
      <c r="D5" s="4">
        <v>780</v>
      </c>
      <c r="E5" s="4" t="s">
        <v>28</v>
      </c>
      <c r="F5" s="10">
        <v>0.59</v>
      </c>
      <c r="G5" s="4" t="s">
        <v>26</v>
      </c>
    </row>
    <row r="6" spans="1:9" x14ac:dyDescent="0.2">
      <c r="A6" s="8">
        <v>46322</v>
      </c>
      <c r="B6" s="9">
        <v>0.68696759259259255</v>
      </c>
      <c r="C6" s="6">
        <v>3.8320310000000002</v>
      </c>
      <c r="D6" s="4">
        <v>776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46322</v>
      </c>
      <c r="B7" s="9">
        <v>0.6869791666666667</v>
      </c>
      <c r="C7" s="6">
        <v>4.3320309999999997</v>
      </c>
      <c r="D7" s="4">
        <v>780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46322</v>
      </c>
      <c r="B8" s="9">
        <v>0.6869791666666667</v>
      </c>
      <c r="C8" s="6">
        <v>4.8320309999999997</v>
      </c>
      <c r="D8" s="4">
        <v>775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46322</v>
      </c>
      <c r="B9" s="9">
        <v>0.68699074074074074</v>
      </c>
      <c r="C9" s="6">
        <v>5.3320309999999997</v>
      </c>
      <c r="D9" s="4">
        <v>777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46322</v>
      </c>
      <c r="B10" s="9">
        <v>0.68699074074074074</v>
      </c>
      <c r="C10" s="6">
        <v>5.8515629999999996</v>
      </c>
      <c r="D10" s="4">
        <v>777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46322</v>
      </c>
      <c r="B11" s="9">
        <v>0.68700231481481477</v>
      </c>
      <c r="C11" s="6">
        <v>6.375</v>
      </c>
      <c r="D11" s="4">
        <v>779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46322</v>
      </c>
      <c r="B12" s="9">
        <v>0.68700231481481477</v>
      </c>
      <c r="C12" s="6">
        <v>6.890625</v>
      </c>
      <c r="D12" s="4">
        <v>778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46322</v>
      </c>
      <c r="B13" s="9">
        <v>0.68701388888888892</v>
      </c>
      <c r="C13" s="6">
        <v>7.421875</v>
      </c>
      <c r="D13" s="4">
        <v>778</v>
      </c>
      <c r="E13" s="4" t="s">
        <v>27</v>
      </c>
      <c r="F13" s="4" t="s">
        <v>27</v>
      </c>
      <c r="G13" s="4">
        <v>21</v>
      </c>
    </row>
    <row r="14" spans="1:9" x14ac:dyDescent="0.2">
      <c r="A14" s="8">
        <v>46322</v>
      </c>
      <c r="B14" s="9">
        <v>0.68701388888888892</v>
      </c>
      <c r="C14" s="6">
        <v>7.953125</v>
      </c>
      <c r="D14" s="4">
        <v>778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46322</v>
      </c>
      <c r="B15" s="9">
        <v>0.68702546296296296</v>
      </c>
      <c r="C15" s="6">
        <v>8.484375</v>
      </c>
      <c r="D15" s="4">
        <v>775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46322</v>
      </c>
      <c r="B16" s="9">
        <v>0.687037037037037</v>
      </c>
      <c r="C16" s="6">
        <v>9.5117189999999994</v>
      </c>
      <c r="D16" s="4">
        <v>778</v>
      </c>
      <c r="E16" s="4" t="s">
        <v>27</v>
      </c>
      <c r="F16" s="4" t="s">
        <v>27</v>
      </c>
      <c r="G16" s="4">
        <v>-237</v>
      </c>
    </row>
    <row r="17" spans="1:7" x14ac:dyDescent="0.2">
      <c r="A17" s="8">
        <v>46322</v>
      </c>
      <c r="B17" s="9">
        <v>0.687037037037037</v>
      </c>
      <c r="C17" s="6">
        <v>10.04297</v>
      </c>
      <c r="D17" s="4">
        <v>775</v>
      </c>
      <c r="E17" s="4" t="s">
        <v>27</v>
      </c>
      <c r="F17" s="4" t="s">
        <v>27</v>
      </c>
      <c r="G17" s="4">
        <v>3088</v>
      </c>
    </row>
    <row r="18" spans="1:7" x14ac:dyDescent="0.2">
      <c r="A18" s="8">
        <v>46322</v>
      </c>
      <c r="B18" s="9">
        <v>0.68704861111111115</v>
      </c>
      <c r="C18" s="6">
        <v>11.07422</v>
      </c>
      <c r="D18" s="4">
        <v>778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46322</v>
      </c>
      <c r="B19" s="9">
        <v>0.68706018518518519</v>
      </c>
      <c r="C19" s="6">
        <v>11.60547</v>
      </c>
      <c r="D19" s="4">
        <v>776</v>
      </c>
      <c r="E19" s="4" t="s">
        <v>27</v>
      </c>
      <c r="F19" s="4" t="s">
        <v>27</v>
      </c>
      <c r="G19" s="4">
        <v>3088</v>
      </c>
    </row>
    <row r="20" spans="1:7" x14ac:dyDescent="0.2">
      <c r="A20" s="8">
        <v>46322</v>
      </c>
      <c r="B20" s="9">
        <v>0.68707175925925923</v>
      </c>
      <c r="C20" s="6">
        <v>12.63672</v>
      </c>
      <c r="D20" s="4">
        <v>776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46322</v>
      </c>
      <c r="B21" s="9">
        <v>0.68708333333333338</v>
      </c>
      <c r="C21" s="6">
        <v>13.16797</v>
      </c>
      <c r="D21" s="4">
        <v>777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5868-3E01-48D9-9E33-B419397E3F4D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0.68755787037037042</v>
      </c>
      <c r="C2" s="6">
        <v>1.8203130000000001</v>
      </c>
      <c r="D2" s="4">
        <v>762</v>
      </c>
      <c r="E2" s="4" t="s">
        <v>24</v>
      </c>
      <c r="F2" s="4" t="s">
        <v>24</v>
      </c>
      <c r="G2" s="4" t="s">
        <v>24</v>
      </c>
      <c r="I2">
        <f>AVERAGE(D2:D21)</f>
        <v>759.65</v>
      </c>
    </row>
    <row r="3" spans="1:9" x14ac:dyDescent="0.2">
      <c r="A3" s="8">
        <v>46322</v>
      </c>
      <c r="B3" s="9">
        <v>0.68755787037037042</v>
      </c>
      <c r="C3" s="6">
        <v>2.2890630000000001</v>
      </c>
      <c r="D3" s="4">
        <v>757</v>
      </c>
      <c r="E3" s="4" t="s">
        <v>24</v>
      </c>
      <c r="F3" s="4" t="s">
        <v>24</v>
      </c>
      <c r="G3" s="4" t="s">
        <v>24</v>
      </c>
      <c r="I3">
        <f>91*(1023-I2)/I2</f>
        <v>31.547225696044233</v>
      </c>
    </row>
    <row r="4" spans="1:9" x14ac:dyDescent="0.2">
      <c r="A4" s="8">
        <v>46322</v>
      </c>
      <c r="B4" s="9">
        <v>0.68756944444444446</v>
      </c>
      <c r="C4" s="6">
        <v>2.7890630000000001</v>
      </c>
      <c r="D4" s="4">
        <v>758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0.68756944444444446</v>
      </c>
      <c r="C5" s="6">
        <v>3.3046880000000001</v>
      </c>
      <c r="D5" s="4">
        <v>759</v>
      </c>
      <c r="E5" s="4" t="s">
        <v>28</v>
      </c>
      <c r="F5" s="10">
        <v>0.59</v>
      </c>
      <c r="G5" s="4" t="s">
        <v>26</v>
      </c>
    </row>
    <row r="6" spans="1:9" x14ac:dyDescent="0.2">
      <c r="A6" s="8">
        <v>46322</v>
      </c>
      <c r="B6" s="9">
        <v>0.68758101851851849</v>
      </c>
      <c r="C6" s="6">
        <v>3.8359380000000001</v>
      </c>
      <c r="D6" s="4">
        <v>762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46322</v>
      </c>
      <c r="B7" s="9">
        <v>0.68758101851851849</v>
      </c>
      <c r="C7" s="6">
        <v>4.3359379999999996</v>
      </c>
      <c r="D7" s="4">
        <v>758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46322</v>
      </c>
      <c r="B8" s="9">
        <v>0.68759259259259264</v>
      </c>
      <c r="C8" s="6">
        <v>4.8359379999999996</v>
      </c>
      <c r="D8" s="4">
        <v>758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46322</v>
      </c>
      <c r="B9" s="9">
        <v>0.68760416666666668</v>
      </c>
      <c r="C9" s="6">
        <v>5.6601559999999997</v>
      </c>
      <c r="D9" s="4">
        <v>760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46322</v>
      </c>
      <c r="B10" s="9">
        <v>0.68760416666666668</v>
      </c>
      <c r="C10" s="6">
        <v>5.8515629999999996</v>
      </c>
      <c r="D10" s="4">
        <v>761</v>
      </c>
      <c r="E10" s="4" t="s">
        <v>28</v>
      </c>
      <c r="F10" s="10">
        <v>0.59</v>
      </c>
      <c r="G10" s="4" t="s">
        <v>26</v>
      </c>
    </row>
    <row r="11" spans="1:9" x14ac:dyDescent="0.2">
      <c r="A11" s="8">
        <v>46322</v>
      </c>
      <c r="B11" s="9">
        <v>0.68760416666666668</v>
      </c>
      <c r="C11" s="6">
        <v>6.3671879999999996</v>
      </c>
      <c r="D11" s="4">
        <v>762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46322</v>
      </c>
      <c r="B12" s="9">
        <v>0.68761574074074072</v>
      </c>
      <c r="C12" s="6">
        <v>6.8671879999999996</v>
      </c>
      <c r="D12" s="4">
        <v>762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46322</v>
      </c>
      <c r="B13" s="9">
        <v>0.68761574074074072</v>
      </c>
      <c r="C13" s="6">
        <v>7.3671879999999996</v>
      </c>
      <c r="D13" s="4">
        <v>759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46322</v>
      </c>
      <c r="B14" s="9">
        <v>0.68762731481481476</v>
      </c>
      <c r="C14" s="6">
        <v>7.8828129999999996</v>
      </c>
      <c r="D14" s="4">
        <v>758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46322</v>
      </c>
      <c r="B15" s="9">
        <v>0.68762731481481476</v>
      </c>
      <c r="C15" s="6">
        <v>8.3828130000000005</v>
      </c>
      <c r="D15" s="4">
        <v>761</v>
      </c>
      <c r="E15" s="4" t="s">
        <v>27</v>
      </c>
      <c r="F15" s="4" t="s">
        <v>27</v>
      </c>
      <c r="G15" s="4">
        <v>21</v>
      </c>
    </row>
    <row r="16" spans="1:9" x14ac:dyDescent="0.2">
      <c r="A16" s="8">
        <v>46322</v>
      </c>
      <c r="B16" s="9">
        <v>0.68763888888888891</v>
      </c>
      <c r="C16" s="6">
        <v>8.9140630000000005</v>
      </c>
      <c r="D16" s="4">
        <v>758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46322</v>
      </c>
      <c r="B17" s="9">
        <v>0.68763888888888891</v>
      </c>
      <c r="C17" s="6">
        <v>9.4296880000000005</v>
      </c>
      <c r="D17" s="4">
        <v>760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46322</v>
      </c>
      <c r="B18" s="9">
        <v>0.68765046296296295</v>
      </c>
      <c r="C18" s="6">
        <v>9.9765630000000005</v>
      </c>
      <c r="D18" s="4">
        <v>761</v>
      </c>
      <c r="E18" s="4" t="s">
        <v>28</v>
      </c>
      <c r="F18" s="10">
        <v>0.59</v>
      </c>
      <c r="G18" s="4" t="s">
        <v>26</v>
      </c>
    </row>
    <row r="19" spans="1:7" x14ac:dyDescent="0.2">
      <c r="A19" s="8">
        <v>46322</v>
      </c>
      <c r="B19" s="9">
        <v>0.68765046296296295</v>
      </c>
      <c r="C19" s="6">
        <v>10.492190000000001</v>
      </c>
      <c r="D19" s="4">
        <v>759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46322</v>
      </c>
      <c r="B20" s="9">
        <v>0.68766203703703699</v>
      </c>
      <c r="C20" s="6">
        <v>10.992190000000001</v>
      </c>
      <c r="D20" s="4">
        <v>760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46322</v>
      </c>
      <c r="B21" s="9">
        <v>0.68766203703703699</v>
      </c>
      <c r="C21" s="6">
        <v>11.492190000000001</v>
      </c>
      <c r="D21" s="4">
        <v>758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690AD-2990-4E5A-B4BC-69DFC71410FB}">
  <dimension ref="A1:I21"/>
  <sheetViews>
    <sheetView tabSelected="1"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0.68922453703703701</v>
      </c>
      <c r="C2" s="6">
        <v>1.808594</v>
      </c>
      <c r="D2" s="4">
        <v>741</v>
      </c>
      <c r="E2" s="4" t="s">
        <v>24</v>
      </c>
      <c r="F2" s="4" t="s">
        <v>24</v>
      </c>
      <c r="G2" s="4" t="s">
        <v>24</v>
      </c>
      <c r="I2">
        <f>AVERAGE(D2:D21)</f>
        <v>741.55</v>
      </c>
    </row>
    <row r="3" spans="1:9" x14ac:dyDescent="0.2">
      <c r="A3" s="8">
        <v>46322</v>
      </c>
      <c r="B3" s="9">
        <v>0.68923611111111116</v>
      </c>
      <c r="C3" s="6">
        <v>2.2773439999999998</v>
      </c>
      <c r="D3" s="4">
        <v>742</v>
      </c>
      <c r="E3" s="4" t="s">
        <v>24</v>
      </c>
      <c r="F3" s="4" t="s">
        <v>24</v>
      </c>
      <c r="G3" s="4" t="s">
        <v>24</v>
      </c>
      <c r="I3">
        <f>91*(1023-I2)/I2</f>
        <v>34.538399298766109</v>
      </c>
    </row>
    <row r="4" spans="1:9" x14ac:dyDescent="0.2">
      <c r="A4" s="8">
        <v>46322</v>
      </c>
      <c r="B4" s="9">
        <v>0.68923611111111116</v>
      </c>
      <c r="C4" s="6">
        <v>2.7773439999999998</v>
      </c>
      <c r="D4" s="4">
        <v>740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0.6892476851851852</v>
      </c>
      <c r="C5" s="6">
        <v>3.2929689999999998</v>
      </c>
      <c r="D5" s="4">
        <v>741</v>
      </c>
      <c r="E5" s="4" t="s">
        <v>28</v>
      </c>
      <c r="F5" s="10">
        <v>0.6</v>
      </c>
      <c r="G5" s="4" t="s">
        <v>26</v>
      </c>
    </row>
    <row r="6" spans="1:9" x14ac:dyDescent="0.2">
      <c r="A6" s="8">
        <v>46322</v>
      </c>
      <c r="B6" s="9">
        <v>0.6892476851851852</v>
      </c>
      <c r="C6" s="6">
        <v>3.8242189999999998</v>
      </c>
      <c r="D6" s="4">
        <v>741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46322</v>
      </c>
      <c r="B7" s="9">
        <v>0.68925925925925924</v>
      </c>
      <c r="C7" s="6">
        <v>4.3242190000000003</v>
      </c>
      <c r="D7" s="4">
        <v>742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46322</v>
      </c>
      <c r="B8" s="9">
        <v>0.68927083333333339</v>
      </c>
      <c r="C8" s="6">
        <v>4.8242190000000003</v>
      </c>
      <c r="D8" s="4">
        <v>743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46322</v>
      </c>
      <c r="B9" s="9">
        <v>0.68927083333333339</v>
      </c>
      <c r="C9" s="6">
        <v>5.328125</v>
      </c>
      <c r="D9" s="4">
        <v>740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46322</v>
      </c>
      <c r="B10" s="9">
        <v>0.68928240740740743</v>
      </c>
      <c r="C10" s="6">
        <v>6.34375</v>
      </c>
      <c r="D10" s="4">
        <v>743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46322</v>
      </c>
      <c r="B11" s="9">
        <v>0.68929398148148147</v>
      </c>
      <c r="C11" s="6">
        <v>6.859375</v>
      </c>
      <c r="D11" s="4">
        <v>742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46322</v>
      </c>
      <c r="B12" s="9">
        <v>0.6893055555555555</v>
      </c>
      <c r="C12" s="6">
        <v>7.8945309999999997</v>
      </c>
      <c r="D12" s="4">
        <v>741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46322</v>
      </c>
      <c r="B13" s="9">
        <v>0.6893055555555555</v>
      </c>
      <c r="C13" s="6">
        <v>8.4257810000000006</v>
      </c>
      <c r="D13" s="4">
        <v>743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0.68931712962962965</v>
      </c>
      <c r="C14" s="6">
        <v>8.9570310000000006</v>
      </c>
      <c r="D14" s="4">
        <v>741</v>
      </c>
      <c r="E14" s="4" t="s">
        <v>28</v>
      </c>
      <c r="F14" s="10">
        <v>0.6</v>
      </c>
      <c r="G14" s="4" t="s">
        <v>26</v>
      </c>
    </row>
    <row r="15" spans="1:9" x14ac:dyDescent="0.2">
      <c r="A15" s="8">
        <v>46322</v>
      </c>
      <c r="B15" s="9">
        <v>0.68931712962962965</v>
      </c>
      <c r="C15" s="6">
        <v>9.4882810000000006</v>
      </c>
      <c r="D15" s="4">
        <v>742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46322</v>
      </c>
      <c r="B16" s="9">
        <v>0.68932870370370369</v>
      </c>
      <c r="C16" s="6">
        <v>9.9882810000000006</v>
      </c>
      <c r="D16" s="4">
        <v>742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46322</v>
      </c>
      <c r="B17" s="9">
        <v>0.68932870370370369</v>
      </c>
      <c r="C17" s="6">
        <v>10.48828</v>
      </c>
      <c r="D17" s="4">
        <v>743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46322</v>
      </c>
      <c r="B18" s="9">
        <v>0.68934027777777773</v>
      </c>
      <c r="C18" s="6">
        <v>10.98828</v>
      </c>
      <c r="D18" s="4">
        <v>743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46322</v>
      </c>
      <c r="B19" s="9">
        <v>0.68934027777777773</v>
      </c>
      <c r="C19" s="6">
        <v>11.503909999999999</v>
      </c>
      <c r="D19" s="4">
        <v>740</v>
      </c>
      <c r="E19" s="4" t="s">
        <v>28</v>
      </c>
      <c r="F19" s="10">
        <v>0.6</v>
      </c>
      <c r="G19" s="4" t="s">
        <v>26</v>
      </c>
    </row>
    <row r="20" spans="1:7" x14ac:dyDescent="0.2">
      <c r="A20" s="8">
        <v>46322</v>
      </c>
      <c r="B20" s="9">
        <v>0.68935185185185188</v>
      </c>
      <c r="C20" s="6">
        <v>12.035159999999999</v>
      </c>
      <c r="D20" s="4">
        <v>741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46322</v>
      </c>
      <c r="B21" s="9">
        <v>0.68935185185185188</v>
      </c>
      <c r="C21" s="6">
        <v>12.535159999999999</v>
      </c>
      <c r="D21" s="4">
        <v>740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>
      <c r="I2" t="e">
        <f>AVERAGE(D2:D21)</f>
        <v>#DIV/0!</v>
      </c>
    </row>
    <row r="3" spans="2:13" ht="12.75" customHeight="1" x14ac:dyDescent="0.2">
      <c r="B3" s="1" t="s">
        <v>0</v>
      </c>
      <c r="C3" s="3">
        <v>3</v>
      </c>
      <c r="E3" s="11" t="s">
        <v>3</v>
      </c>
      <c r="F3" s="12"/>
      <c r="I3" t="e">
        <f>91*(1023-I2)/I2</f>
        <v>#DIV/0!</v>
      </c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29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溫度</vt:lpstr>
      <vt:lpstr>空白升溫30</vt:lpstr>
      <vt:lpstr>空白升溫40</vt:lpstr>
      <vt:lpstr>空白升溫50</vt:lpstr>
      <vt:lpstr>空白升溫60</vt:lpstr>
      <vt:lpstr>空白升溫70</vt:lpstr>
      <vt:lpstr>空白升溫80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2026-10-27T09:07:21Z</dcterms:modified>
</cp:coreProperties>
</file>