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10_5\"/>
    </mc:Choice>
  </mc:AlternateContent>
  <xr:revisionPtr revIDLastSave="0" documentId="13_ncr:1_{C914441B-0979-422C-B1B5-839E155F9822}" xr6:coauthVersionLast="47" xr6:coauthVersionMax="47" xr10:uidLastSave="{00000000-0000-0000-0000-000000000000}"/>
  <bookViews>
    <workbookView xWindow="-120" yWindow="-120" windowWidth="20730" windowHeight="11160" tabRatio="795" activeTab="13" xr2:uid="{00000000-000D-0000-FFFF-FFFF00000000}"/>
  </bookViews>
  <sheets>
    <sheet name="溫度" sheetId="36" r:id="rId1"/>
    <sheet name="A2" sheetId="37" r:id="rId2"/>
    <sheet name="A3" sheetId="38" r:id="rId3"/>
    <sheet name="A4" sheetId="39" r:id="rId4"/>
    <sheet name="B2" sheetId="40" r:id="rId5"/>
    <sheet name="B3" sheetId="41" r:id="rId6"/>
    <sheet name="B4" sheetId="42" r:id="rId7"/>
    <sheet name="養樂多30" sheetId="43" r:id="rId8"/>
    <sheet name="養樂多40" sheetId="44" r:id="rId9"/>
    <sheet name="養樂多50" sheetId="45" r:id="rId10"/>
    <sheet name="養樂多60" sheetId="46" r:id="rId11"/>
    <sheet name="養樂多70" sheetId="47" r:id="rId12"/>
    <sheet name="養樂多80" sheetId="48" r:id="rId13"/>
    <sheet name="養樂多空白" sheetId="49" r:id="rId14"/>
    <sheet name="PLXDAQ_new_Settings" sheetId="6" state="hidden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49" l="1"/>
  <c r="I3" i="49" s="1"/>
  <c r="I2" i="48"/>
  <c r="I3" i="48" s="1"/>
  <c r="I2" i="47"/>
  <c r="I3" i="47" s="1"/>
  <c r="I2" i="46"/>
  <c r="I3" i="46" s="1"/>
  <c r="I2" i="45"/>
  <c r="I3" i="45" s="1"/>
  <c r="I2" i="44"/>
  <c r="I3" i="44" s="1"/>
  <c r="I2" i="43"/>
  <c r="I3" i="43" s="1"/>
  <c r="I2" i="42"/>
  <c r="I3" i="42" s="1"/>
  <c r="I2" i="41"/>
  <c r="I3" i="41" s="1"/>
  <c r="I2" i="40"/>
  <c r="I3" i="40" s="1"/>
  <c r="I2" i="39"/>
  <c r="I3" i="39" s="1"/>
  <c r="I2" i="38"/>
  <c r="I3" i="38" s="1"/>
  <c r="I3" i="37"/>
  <c r="I2" i="37"/>
</calcChain>
</file>

<file path=xl/sharedStrings.xml><?xml version="1.0" encoding="utf-8"?>
<sst xmlns="http://schemas.openxmlformats.org/spreadsheetml/2006/main" count="842" uniqueCount="43">
  <si>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</si>
  <si>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</si>
  <si>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</si>
  <si>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</si>
  <si>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</si>
  <si>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</si>
  <si>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</si>
  <si>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</si>
  <si>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</si>
  <si>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</si>
  <si>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</si>
  <si>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</si>
  <si>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</si>
  <si>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</si>
  <si>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</si>
  <si>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</si>
  <si>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</si>
  <si>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</si>
  <si>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</si>
  <si>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</si>
  <si>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</si>
  <si>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</si>
  <si>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</si>
  <si>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</si>
  <si>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</si>
  <si>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28.00 C</t>
  </si>
  <si>
    <t>NULL</t>
  </si>
  <si>
    <t>Error</t>
  </si>
  <si>
    <t>27.00 C</t>
  </si>
  <si>
    <t>B4</t>
    <phoneticPr fontId="4" type="noConversion"/>
  </si>
  <si>
    <t>26.00 C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</si>
  <si>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</si>
  <si>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</si>
  <si>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</si>
  <si>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</si>
  <si>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</si>
  <si>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</si>
  <si>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</si>
  <si>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  <phoneticPr fontId="4" type="noConversion"/>
  </si>
  <si>
    <t>Error</t>
    <phoneticPr fontId="4" type="noConversion"/>
  </si>
  <si>
    <t>26.00 C</t>
    <phoneticPr fontId="4" type="noConversion"/>
  </si>
  <si>
    <t>NULL</t>
    <phoneticPr fontId="4" type="noConversion"/>
  </si>
  <si>
    <t>27.00 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</si>
</sst>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G25"/>
  <sheetViews>
    <sheetView workbookViewId="0">
      <selection activeCell="I6" sqref="I6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46300</v>
      </c>
      <c r="B2" s="9">
        <v>0.54792824074074076</v>
      </c>
      <c r="C2" s="6">
        <v>1.871094</v>
      </c>
      <c r="D2" s="4">
        <v>3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46300</v>
      </c>
      <c r="B3" s="9">
        <v>0.5479398148148148</v>
      </c>
      <c r="C3" s="6">
        <v>2.2773439999999998</v>
      </c>
      <c r="D3" s="4">
        <v>0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46300</v>
      </c>
      <c r="B4" s="9">
        <v>0.5479398148148148</v>
      </c>
      <c r="C4" s="6">
        <v>2.7773439999999998</v>
      </c>
      <c r="D4" s="4">
        <v>0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46300</v>
      </c>
      <c r="B5" s="9">
        <v>0.54795138888888884</v>
      </c>
      <c r="C5" s="6">
        <v>3.2929689999999998</v>
      </c>
      <c r="D5" s="4">
        <v>0</v>
      </c>
      <c r="E5" s="4" t="s">
        <v>25</v>
      </c>
      <c r="F5" s="10">
        <v>0.64</v>
      </c>
      <c r="G5" s="4" t="s">
        <v>26</v>
      </c>
    </row>
    <row r="6" spans="1:7" x14ac:dyDescent="0.2">
      <c r="A6" s="8">
        <v>46300</v>
      </c>
      <c r="B6" s="9">
        <v>0.54795138888888884</v>
      </c>
      <c r="C6" s="6">
        <v>3.8242189999999998</v>
      </c>
      <c r="D6" s="4">
        <v>1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46300</v>
      </c>
      <c r="B7" s="9">
        <v>0.54796296296296299</v>
      </c>
      <c r="C7" s="6">
        <v>4.3242190000000003</v>
      </c>
      <c r="D7" s="4">
        <v>0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46300</v>
      </c>
      <c r="B8" s="9">
        <v>0.54796296296296299</v>
      </c>
      <c r="C8" s="6">
        <v>4.8242190000000003</v>
      </c>
      <c r="D8" s="4">
        <v>0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46300</v>
      </c>
      <c r="B9" s="9">
        <v>0.54797453703703702</v>
      </c>
      <c r="C9" s="6">
        <v>5.3242190000000003</v>
      </c>
      <c r="D9" s="4">
        <v>1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46300</v>
      </c>
      <c r="B10" s="9">
        <v>0.54797453703703702</v>
      </c>
      <c r="C10" s="6">
        <v>5.8398440000000003</v>
      </c>
      <c r="D10" s="4">
        <v>0</v>
      </c>
      <c r="E10" s="4" t="s">
        <v>27</v>
      </c>
      <c r="F10" s="4" t="s">
        <v>27</v>
      </c>
      <c r="G10" s="4">
        <v>21</v>
      </c>
    </row>
    <row r="11" spans="1:7" x14ac:dyDescent="0.2">
      <c r="A11" s="8">
        <v>46300</v>
      </c>
      <c r="B11" s="9">
        <v>0.54798611111111106</v>
      </c>
      <c r="C11" s="6">
        <v>6.3710940000000003</v>
      </c>
      <c r="D11" s="4">
        <v>0</v>
      </c>
      <c r="E11" s="4" t="s">
        <v>27</v>
      </c>
      <c r="F11" s="4" t="s">
        <v>27</v>
      </c>
      <c r="G11" s="4">
        <v>4112</v>
      </c>
    </row>
    <row r="12" spans="1:7" x14ac:dyDescent="0.2">
      <c r="A12" s="8">
        <v>46300</v>
      </c>
      <c r="B12" s="9">
        <v>0.54798611111111106</v>
      </c>
      <c r="C12" s="6">
        <v>6.8867190000000003</v>
      </c>
      <c r="D12" s="4">
        <v>0</v>
      </c>
      <c r="E12" s="4" t="s">
        <v>27</v>
      </c>
      <c r="F12" s="4" t="s">
        <v>27</v>
      </c>
      <c r="G12" s="4">
        <v>4112</v>
      </c>
    </row>
    <row r="13" spans="1:7" x14ac:dyDescent="0.2">
      <c r="A13" s="8">
        <v>46300</v>
      </c>
      <c r="B13" s="9">
        <v>0.54799768518518521</v>
      </c>
      <c r="C13" s="6">
        <v>7.4335940000000003</v>
      </c>
      <c r="D13" s="4">
        <v>3</v>
      </c>
      <c r="E13" s="4" t="s">
        <v>25</v>
      </c>
      <c r="F13" s="10">
        <v>0.64</v>
      </c>
      <c r="G13" s="4" t="s">
        <v>26</v>
      </c>
    </row>
    <row r="14" spans="1:7" x14ac:dyDescent="0.2">
      <c r="A14" s="8">
        <v>46300</v>
      </c>
      <c r="B14" s="9">
        <v>0.54800925925925925</v>
      </c>
      <c r="C14" s="6">
        <v>7.9492190000000003</v>
      </c>
      <c r="D14" s="4">
        <v>10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46300</v>
      </c>
      <c r="B15" s="9">
        <v>0.54800925925925925</v>
      </c>
      <c r="C15" s="6">
        <v>8.4492189999999994</v>
      </c>
      <c r="D15" s="4">
        <v>0</v>
      </c>
      <c r="E15" s="4" t="s">
        <v>24</v>
      </c>
      <c r="F15" s="4" t="s">
        <v>24</v>
      </c>
      <c r="G15" s="4" t="s">
        <v>24</v>
      </c>
    </row>
    <row r="16" spans="1:7" x14ac:dyDescent="0.2">
      <c r="A16" s="8">
        <v>46300</v>
      </c>
      <c r="B16" s="9">
        <v>0.54802083333333329</v>
      </c>
      <c r="C16" s="6">
        <v>8.9492189999999994</v>
      </c>
      <c r="D16" s="4">
        <v>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0.54802083333333329</v>
      </c>
      <c r="C17" s="6">
        <v>9.4492189999999994</v>
      </c>
      <c r="D17" s="4">
        <v>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46300</v>
      </c>
      <c r="B18" s="9">
        <v>0.54803240740740744</v>
      </c>
      <c r="C18" s="6">
        <v>10.464840000000001</v>
      </c>
      <c r="D18" s="4">
        <v>0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46300</v>
      </c>
      <c r="B19" s="9">
        <v>0.54804398148148148</v>
      </c>
      <c r="C19" s="6">
        <v>10.996090000000001</v>
      </c>
      <c r="D19" s="4">
        <v>0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46300</v>
      </c>
      <c r="B20" s="9">
        <v>0.54804398148148148</v>
      </c>
      <c r="C20" s="6">
        <v>11.527340000000001</v>
      </c>
      <c r="D20" s="4">
        <v>0</v>
      </c>
      <c r="E20" s="4" t="s">
        <v>25</v>
      </c>
      <c r="F20" s="10">
        <v>0.64</v>
      </c>
      <c r="G20" s="4" t="s">
        <v>26</v>
      </c>
    </row>
    <row r="21" spans="1:7" x14ac:dyDescent="0.2">
      <c r="A21" s="8">
        <v>46300</v>
      </c>
      <c r="B21" s="9">
        <v>0.54805555555555552</v>
      </c>
      <c r="C21" s="6">
        <v>12.058590000000001</v>
      </c>
      <c r="D21" s="4">
        <v>9</v>
      </c>
      <c r="E21" s="4" t="s">
        <v>24</v>
      </c>
      <c r="F21" s="4" t="s">
        <v>24</v>
      </c>
      <c r="G21" s="4" t="s">
        <v>24</v>
      </c>
    </row>
    <row r="22" spans="1:7" x14ac:dyDescent="0.2">
      <c r="A22" s="8">
        <v>46300</v>
      </c>
      <c r="B22" s="9">
        <v>0.54805555555555552</v>
      </c>
      <c r="C22" s="6">
        <v>12.558590000000001</v>
      </c>
      <c r="D22" s="4">
        <v>0</v>
      </c>
      <c r="E22" s="4" t="s">
        <v>24</v>
      </c>
      <c r="F22" s="4" t="s">
        <v>24</v>
      </c>
      <c r="G22" s="4" t="s">
        <v>24</v>
      </c>
    </row>
    <row r="23" spans="1:7" x14ac:dyDescent="0.2">
      <c r="A23" s="8">
        <v>46300</v>
      </c>
      <c r="B23" s="9">
        <v>0.54806712962962967</v>
      </c>
      <c r="C23" s="6">
        <v>13.058590000000001</v>
      </c>
      <c r="D23" s="4">
        <v>0</v>
      </c>
      <c r="E23" s="4" t="s">
        <v>24</v>
      </c>
      <c r="F23" s="4" t="s">
        <v>24</v>
      </c>
      <c r="G23" s="4" t="s">
        <v>24</v>
      </c>
    </row>
    <row r="24" spans="1:7" x14ac:dyDescent="0.2">
      <c r="A24" s="8">
        <v>46300</v>
      </c>
      <c r="B24" s="9">
        <v>0.54806712962962967</v>
      </c>
      <c r="C24" s="6">
        <v>13.558590000000001</v>
      </c>
      <c r="D24" s="4">
        <v>0</v>
      </c>
      <c r="E24" s="4" t="s">
        <v>24</v>
      </c>
      <c r="F24" s="4" t="s">
        <v>24</v>
      </c>
      <c r="G24" s="4" t="s">
        <v>24</v>
      </c>
    </row>
    <row r="25" spans="1:7" x14ac:dyDescent="0.2">
      <c r="A25" s="8">
        <v>46300</v>
      </c>
      <c r="B25" s="9">
        <v>0.54807870370370371</v>
      </c>
      <c r="C25" s="6">
        <v>14.07422</v>
      </c>
      <c r="D25" s="4">
        <v>0</v>
      </c>
      <c r="E25" s="4" t="s">
        <v>25</v>
      </c>
      <c r="F25" s="10">
        <v>0.64</v>
      </c>
      <c r="G25" s="4" t="s">
        <v>26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A414A-00E6-47CA-B1C3-AA64B6215897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0.54973379629629626</v>
      </c>
      <c r="C2" s="6">
        <v>1.8125</v>
      </c>
      <c r="D2" s="4">
        <v>849</v>
      </c>
      <c r="E2" s="4" t="s">
        <v>24</v>
      </c>
      <c r="F2" s="4" t="s">
        <v>24</v>
      </c>
      <c r="G2" s="4" t="s">
        <v>24</v>
      </c>
      <c r="I2">
        <f>AVERAGE(D2:D21)</f>
        <v>847.2</v>
      </c>
    </row>
    <row r="3" spans="1:9" x14ac:dyDescent="0.2">
      <c r="A3" s="8">
        <v>46300</v>
      </c>
      <c r="B3" s="9">
        <v>0.54973379629629626</v>
      </c>
      <c r="C3" s="6">
        <v>2.28125</v>
      </c>
      <c r="D3" s="4">
        <v>850</v>
      </c>
      <c r="E3" s="4" t="s">
        <v>24</v>
      </c>
      <c r="F3" s="4" t="s">
        <v>24</v>
      </c>
      <c r="G3" s="4" t="s">
        <v>24</v>
      </c>
      <c r="I3">
        <f>91*(1023-I2)/I2</f>
        <v>18.883144475920673</v>
      </c>
    </row>
    <row r="4" spans="1:9" x14ac:dyDescent="0.2">
      <c r="A4" s="8">
        <v>46300</v>
      </c>
      <c r="B4" s="9">
        <v>0.54974537037037041</v>
      </c>
      <c r="C4" s="6">
        <v>2.78125</v>
      </c>
      <c r="D4" s="4">
        <v>851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0.54974537037037041</v>
      </c>
      <c r="C5" s="6">
        <v>3.296875</v>
      </c>
      <c r="D5" s="4">
        <v>848</v>
      </c>
      <c r="E5" s="4" t="s">
        <v>25</v>
      </c>
      <c r="F5" s="10">
        <v>0.65</v>
      </c>
      <c r="G5" s="4" t="s">
        <v>26</v>
      </c>
    </row>
    <row r="6" spans="1:9" x14ac:dyDescent="0.2">
      <c r="A6" s="8">
        <v>46300</v>
      </c>
      <c r="B6" s="9">
        <v>0.54975694444444445</v>
      </c>
      <c r="C6" s="6">
        <v>3.828125</v>
      </c>
      <c r="D6" s="4">
        <v>851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46300</v>
      </c>
      <c r="B7" s="9">
        <v>0.54975694444444445</v>
      </c>
      <c r="C7" s="6">
        <v>4.328125</v>
      </c>
      <c r="D7" s="4">
        <v>848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46300</v>
      </c>
      <c r="B8" s="9">
        <v>0.54976851851851849</v>
      </c>
      <c r="C8" s="6">
        <v>4.828125</v>
      </c>
      <c r="D8" s="4">
        <v>847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46300</v>
      </c>
      <c r="B9" s="9">
        <v>0.54976851851851849</v>
      </c>
      <c r="C9" s="6">
        <v>5.328125</v>
      </c>
      <c r="D9" s="4">
        <v>851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46300</v>
      </c>
      <c r="B10" s="9">
        <v>0.54978009259259264</v>
      </c>
      <c r="C10" s="6">
        <v>6.34375</v>
      </c>
      <c r="D10" s="4">
        <v>849</v>
      </c>
      <c r="E10" s="4" t="s">
        <v>27</v>
      </c>
      <c r="F10" s="4" t="s">
        <v>27</v>
      </c>
      <c r="G10" s="4">
        <v>-237</v>
      </c>
    </row>
    <row r="11" spans="1:9" x14ac:dyDescent="0.2">
      <c r="A11" s="8">
        <v>46300</v>
      </c>
      <c r="B11" s="9">
        <v>0.54979166666666668</v>
      </c>
      <c r="C11" s="6">
        <v>6.875</v>
      </c>
      <c r="D11" s="4">
        <v>846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46300</v>
      </c>
      <c r="B12" s="9">
        <v>0.54979166666666668</v>
      </c>
      <c r="C12" s="6">
        <v>7.40625</v>
      </c>
      <c r="D12" s="4">
        <v>847</v>
      </c>
      <c r="E12" s="4" t="s">
        <v>25</v>
      </c>
      <c r="F12" s="10">
        <v>0.65</v>
      </c>
      <c r="G12" s="4" t="s">
        <v>26</v>
      </c>
    </row>
    <row r="13" spans="1:9" x14ac:dyDescent="0.2">
      <c r="A13" s="8">
        <v>46300</v>
      </c>
      <c r="B13" s="9">
        <v>0.54980324074074072</v>
      </c>
      <c r="C13" s="6">
        <v>7.921875</v>
      </c>
      <c r="D13" s="4">
        <v>845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46300</v>
      </c>
      <c r="B14" s="9">
        <v>0.54980324074074072</v>
      </c>
      <c r="C14" s="6">
        <v>8.4375</v>
      </c>
      <c r="D14" s="4">
        <v>847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46300</v>
      </c>
      <c r="B15" s="9">
        <v>0.54981481481481487</v>
      </c>
      <c r="C15" s="6">
        <v>8.9335939999999994</v>
      </c>
      <c r="D15" s="4">
        <v>846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46300</v>
      </c>
      <c r="B16" s="9">
        <v>0.54981481481481487</v>
      </c>
      <c r="C16" s="6">
        <v>9.4335939999999994</v>
      </c>
      <c r="D16" s="4">
        <v>845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0.54982638888888891</v>
      </c>
      <c r="C17" s="6">
        <v>9.9492189999999994</v>
      </c>
      <c r="D17" s="4">
        <v>847</v>
      </c>
      <c r="E17" s="4" t="s">
        <v>25</v>
      </c>
      <c r="F17" s="10">
        <v>0.65</v>
      </c>
      <c r="G17" s="4" t="s">
        <v>26</v>
      </c>
    </row>
    <row r="18" spans="1:7" x14ac:dyDescent="0.2">
      <c r="A18" s="8">
        <v>46300</v>
      </c>
      <c r="B18" s="9">
        <v>0.54982638888888891</v>
      </c>
      <c r="C18" s="6">
        <v>10.464840000000001</v>
      </c>
      <c r="D18" s="4">
        <v>843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46300</v>
      </c>
      <c r="B19" s="9">
        <v>0.54983796296296295</v>
      </c>
      <c r="C19" s="6">
        <v>10.98047</v>
      </c>
      <c r="D19" s="4">
        <v>843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46300</v>
      </c>
      <c r="B20" s="9">
        <v>0.54983796296296295</v>
      </c>
      <c r="C20" s="6">
        <v>11.48047</v>
      </c>
      <c r="D20" s="4">
        <v>846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46300</v>
      </c>
      <c r="B21" s="9">
        <v>0.54984953703703698</v>
      </c>
      <c r="C21" s="6">
        <v>11.98047</v>
      </c>
      <c r="D21" s="4">
        <v>845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00C-25EB-4926-AB43-70693207C0EA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0.5503703703703704</v>
      </c>
      <c r="C2" s="6">
        <v>1.816406</v>
      </c>
      <c r="D2" s="4">
        <v>796</v>
      </c>
      <c r="E2" s="4" t="s">
        <v>24</v>
      </c>
      <c r="F2" s="4" t="s">
        <v>24</v>
      </c>
      <c r="G2" s="4" t="s">
        <v>24</v>
      </c>
      <c r="I2">
        <f>AVERAGE(D2:D21)</f>
        <v>792.3</v>
      </c>
    </row>
    <row r="3" spans="1:9" x14ac:dyDescent="0.2">
      <c r="A3" s="8">
        <v>46300</v>
      </c>
      <c r="B3" s="9">
        <v>0.5503703703703704</v>
      </c>
      <c r="C3" s="6">
        <v>2.28125</v>
      </c>
      <c r="D3" s="4">
        <v>796</v>
      </c>
      <c r="E3" s="4" t="s">
        <v>24</v>
      </c>
      <c r="F3" s="4" t="s">
        <v>24</v>
      </c>
      <c r="G3" s="4" t="s">
        <v>24</v>
      </c>
      <c r="I3">
        <f>91*(1023-I2)/I2</f>
        <v>26.497160166603567</v>
      </c>
    </row>
    <row r="4" spans="1:9" x14ac:dyDescent="0.2">
      <c r="A4" s="8">
        <v>46300</v>
      </c>
      <c r="B4" s="9">
        <v>0.55038194444444444</v>
      </c>
      <c r="C4" s="6">
        <v>2.78125</v>
      </c>
      <c r="D4" s="4">
        <v>792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0.55038194444444444</v>
      </c>
      <c r="C5" s="6">
        <v>3.296875</v>
      </c>
      <c r="D5" s="4">
        <v>793</v>
      </c>
      <c r="E5" s="4" t="s">
        <v>25</v>
      </c>
      <c r="F5" s="10">
        <v>0.64</v>
      </c>
      <c r="G5" s="4" t="s">
        <v>26</v>
      </c>
    </row>
    <row r="6" spans="1:9" x14ac:dyDescent="0.2">
      <c r="A6" s="8">
        <v>46300</v>
      </c>
      <c r="B6" s="9">
        <v>0.55039351851851848</v>
      </c>
      <c r="C6" s="6">
        <v>3.828125</v>
      </c>
      <c r="D6" s="4">
        <v>794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46300</v>
      </c>
      <c r="B7" s="9">
        <v>0.55039351851851848</v>
      </c>
      <c r="C7" s="6">
        <v>4.328125</v>
      </c>
      <c r="D7" s="4">
        <v>793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46300</v>
      </c>
      <c r="B8" s="9">
        <v>0.55040509259259263</v>
      </c>
      <c r="C8" s="6">
        <v>4.828125</v>
      </c>
      <c r="D8" s="4">
        <v>795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46300</v>
      </c>
      <c r="B9" s="9">
        <v>0.55040509259259263</v>
      </c>
      <c r="C9" s="6">
        <v>5.328125</v>
      </c>
      <c r="D9" s="4">
        <v>794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46300</v>
      </c>
      <c r="B10" s="9">
        <v>0.55041666666666667</v>
      </c>
      <c r="C10" s="6">
        <v>5.84375</v>
      </c>
      <c r="D10" s="4">
        <v>793</v>
      </c>
      <c r="E10" s="4" t="s">
        <v>25</v>
      </c>
      <c r="F10" s="10">
        <v>0.64</v>
      </c>
      <c r="G10" s="4" t="s">
        <v>26</v>
      </c>
    </row>
    <row r="11" spans="1:9" x14ac:dyDescent="0.2">
      <c r="A11" s="8">
        <v>46300</v>
      </c>
      <c r="B11" s="9">
        <v>0.55041666666666667</v>
      </c>
      <c r="C11" s="6">
        <v>6.375</v>
      </c>
      <c r="D11" s="4">
        <v>790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46300</v>
      </c>
      <c r="B12" s="9">
        <v>0.5504282407407407</v>
      </c>
      <c r="C12" s="6">
        <v>6.875</v>
      </c>
      <c r="D12" s="4">
        <v>789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46300</v>
      </c>
      <c r="B13" s="9">
        <v>0.5504282407407407</v>
      </c>
      <c r="C13" s="6">
        <v>7.375</v>
      </c>
      <c r="D13" s="4">
        <v>790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46300</v>
      </c>
      <c r="B14" s="9">
        <v>0.55043981481481485</v>
      </c>
      <c r="C14" s="6">
        <v>7.875</v>
      </c>
      <c r="D14" s="4">
        <v>791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46300</v>
      </c>
      <c r="B15" s="9">
        <v>0.55043981481481485</v>
      </c>
      <c r="C15" s="6">
        <v>8.390625</v>
      </c>
      <c r="D15" s="4">
        <v>789</v>
      </c>
      <c r="E15" s="4" t="s">
        <v>27</v>
      </c>
      <c r="F15" s="4" t="s">
        <v>27</v>
      </c>
      <c r="G15" s="4">
        <v>21</v>
      </c>
    </row>
    <row r="16" spans="1:9" x14ac:dyDescent="0.2">
      <c r="A16" s="8">
        <v>46300</v>
      </c>
      <c r="B16" s="9">
        <v>0.55045138888888889</v>
      </c>
      <c r="C16" s="6">
        <v>8.9101560000000006</v>
      </c>
      <c r="D16" s="4">
        <v>791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46300</v>
      </c>
      <c r="B17" s="9">
        <v>0.55046296296296293</v>
      </c>
      <c r="C17" s="6">
        <v>9.4414060000000006</v>
      </c>
      <c r="D17" s="4">
        <v>792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46300</v>
      </c>
      <c r="B18" s="9">
        <v>0.55046296296296293</v>
      </c>
      <c r="C18" s="6">
        <v>9.9726560000000006</v>
      </c>
      <c r="D18" s="4">
        <v>791</v>
      </c>
      <c r="E18" s="4" t="s">
        <v>25</v>
      </c>
      <c r="F18" s="10">
        <v>0.64</v>
      </c>
      <c r="G18" s="4" t="s">
        <v>26</v>
      </c>
    </row>
    <row r="19" spans="1:7" x14ac:dyDescent="0.2">
      <c r="A19" s="8">
        <v>46300</v>
      </c>
      <c r="B19" s="9">
        <v>0.55047453703703708</v>
      </c>
      <c r="C19" s="6">
        <v>10.48828</v>
      </c>
      <c r="D19" s="4">
        <v>794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46300</v>
      </c>
      <c r="B20" s="9">
        <v>0.55047453703703708</v>
      </c>
      <c r="C20" s="6">
        <v>11.003909999999999</v>
      </c>
      <c r="D20" s="4">
        <v>793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46300</v>
      </c>
      <c r="B21" s="9">
        <v>0.55048611111111112</v>
      </c>
      <c r="C21" s="6">
        <v>11.503909999999999</v>
      </c>
      <c r="D21" s="4">
        <v>790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EBC54-ED27-4E2E-9E5C-B53D310E6638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0.55121527777777779</v>
      </c>
      <c r="C2" s="6">
        <v>1.796875</v>
      </c>
      <c r="D2" s="4">
        <v>806</v>
      </c>
      <c r="E2" s="4" t="s">
        <v>24</v>
      </c>
      <c r="F2" s="4" t="s">
        <v>24</v>
      </c>
      <c r="G2" s="4" t="s">
        <v>24</v>
      </c>
      <c r="I2">
        <f>AVERAGE(D2:D21)</f>
        <v>802.15</v>
      </c>
    </row>
    <row r="3" spans="1:9" x14ac:dyDescent="0.2">
      <c r="A3" s="8">
        <v>46300</v>
      </c>
      <c r="B3" s="9">
        <v>0.55121527777777779</v>
      </c>
      <c r="C3" s="6">
        <v>2.28125</v>
      </c>
      <c r="D3" s="4">
        <v>802</v>
      </c>
      <c r="E3" s="4" t="s">
        <v>24</v>
      </c>
      <c r="F3" s="4" t="s">
        <v>24</v>
      </c>
      <c r="G3" s="4" t="s">
        <v>24</v>
      </c>
      <c r="I3">
        <f>91*(1023-I2)/I2</f>
        <v>25.054353923829712</v>
      </c>
    </row>
    <row r="4" spans="1:9" x14ac:dyDescent="0.2">
      <c r="A4" s="8">
        <v>46300</v>
      </c>
      <c r="B4" s="9">
        <v>0.55122685185185183</v>
      </c>
      <c r="C4" s="6">
        <v>2.78125</v>
      </c>
      <c r="D4" s="4">
        <v>802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0.55122685185185183</v>
      </c>
      <c r="C5" s="6">
        <v>3.296875</v>
      </c>
      <c r="D5" s="4">
        <v>802</v>
      </c>
      <c r="E5" s="4" t="s">
        <v>27</v>
      </c>
      <c r="F5" s="4" t="s">
        <v>27</v>
      </c>
      <c r="G5" s="4">
        <v>21</v>
      </c>
    </row>
    <row r="6" spans="1:9" x14ac:dyDescent="0.2">
      <c r="A6" s="8">
        <v>46300</v>
      </c>
      <c r="B6" s="9">
        <v>0.55123842592592598</v>
      </c>
      <c r="C6" s="6">
        <v>3.8125</v>
      </c>
      <c r="D6" s="4">
        <v>804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46300</v>
      </c>
      <c r="B7" s="9">
        <v>0.55123842592592598</v>
      </c>
      <c r="C7" s="6">
        <v>4.34375</v>
      </c>
      <c r="D7" s="4">
        <v>801</v>
      </c>
      <c r="E7" s="4" t="s">
        <v>27</v>
      </c>
      <c r="F7" s="4" t="s">
        <v>27</v>
      </c>
      <c r="G7" s="4">
        <v>4112</v>
      </c>
    </row>
    <row r="8" spans="1:9" x14ac:dyDescent="0.2">
      <c r="A8" s="8">
        <v>46300</v>
      </c>
      <c r="B8" s="9">
        <v>0.55125000000000002</v>
      </c>
      <c r="C8" s="6">
        <v>4.875</v>
      </c>
      <c r="D8" s="4">
        <v>802</v>
      </c>
      <c r="E8" s="4" t="s">
        <v>27</v>
      </c>
      <c r="F8" s="4" t="s">
        <v>27</v>
      </c>
      <c r="G8" s="4">
        <v>21</v>
      </c>
    </row>
    <row r="9" spans="1:9" x14ac:dyDescent="0.2">
      <c r="A9" s="8">
        <v>46300</v>
      </c>
      <c r="B9" s="9">
        <v>0.55125000000000002</v>
      </c>
      <c r="C9" s="6">
        <v>5.40625</v>
      </c>
      <c r="D9" s="4">
        <v>804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46300</v>
      </c>
      <c r="B10" s="9">
        <v>0.55126157407407406</v>
      </c>
      <c r="C10" s="6">
        <v>5.921875</v>
      </c>
      <c r="D10" s="4">
        <v>804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46300</v>
      </c>
      <c r="B11" s="9">
        <v>0.55126157407407406</v>
      </c>
      <c r="C11" s="6">
        <v>6.453125</v>
      </c>
      <c r="D11" s="4">
        <v>805</v>
      </c>
      <c r="E11" s="4" t="s">
        <v>27</v>
      </c>
      <c r="F11" s="4" t="s">
        <v>27</v>
      </c>
      <c r="G11" s="4">
        <v>21</v>
      </c>
    </row>
    <row r="12" spans="1:9" x14ac:dyDescent="0.2">
      <c r="A12" s="8">
        <v>46300</v>
      </c>
      <c r="B12" s="9">
        <v>0.5512731481481481</v>
      </c>
      <c r="C12" s="6">
        <v>6.984375</v>
      </c>
      <c r="D12" s="4">
        <v>803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46300</v>
      </c>
      <c r="B13" s="9">
        <v>0.5512731481481481</v>
      </c>
      <c r="C13" s="6">
        <v>7.4960940000000003</v>
      </c>
      <c r="D13" s="4">
        <v>801</v>
      </c>
      <c r="E13" s="4" t="s">
        <v>27</v>
      </c>
      <c r="F13" s="4" t="s">
        <v>27</v>
      </c>
      <c r="G13" s="4">
        <v>4112</v>
      </c>
    </row>
    <row r="14" spans="1:9" x14ac:dyDescent="0.2">
      <c r="A14" s="8">
        <v>46300</v>
      </c>
      <c r="B14" s="9">
        <v>0.55128472222222225</v>
      </c>
      <c r="C14" s="6">
        <v>8.0429689999999994</v>
      </c>
      <c r="D14" s="4">
        <v>801</v>
      </c>
      <c r="E14" s="4" t="s">
        <v>25</v>
      </c>
      <c r="F14" s="10">
        <v>0.64</v>
      </c>
      <c r="G14" s="4" t="s">
        <v>26</v>
      </c>
    </row>
    <row r="15" spans="1:9" x14ac:dyDescent="0.2">
      <c r="A15" s="8">
        <v>46300</v>
      </c>
      <c r="B15" s="9">
        <v>0.55129629629629628</v>
      </c>
      <c r="C15" s="6">
        <v>8.5625</v>
      </c>
      <c r="D15" s="4">
        <v>800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46300</v>
      </c>
      <c r="B16" s="9">
        <v>0.55129629629629628</v>
      </c>
      <c r="C16" s="6">
        <v>9.0625</v>
      </c>
      <c r="D16" s="4">
        <v>800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0.55130787037037032</v>
      </c>
      <c r="C17" s="6">
        <v>9.5625</v>
      </c>
      <c r="D17" s="4">
        <v>802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46300</v>
      </c>
      <c r="B18" s="9">
        <v>0.55130787037037032</v>
      </c>
      <c r="C18" s="6">
        <v>10.058590000000001</v>
      </c>
      <c r="D18" s="4">
        <v>801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46300</v>
      </c>
      <c r="B19" s="9">
        <v>0.55131944444444447</v>
      </c>
      <c r="C19" s="6">
        <v>10.589840000000001</v>
      </c>
      <c r="D19" s="4">
        <v>802</v>
      </c>
      <c r="E19" s="4" t="s">
        <v>25</v>
      </c>
      <c r="F19" s="10">
        <v>0.64</v>
      </c>
      <c r="G19" s="4" t="s">
        <v>26</v>
      </c>
    </row>
    <row r="20" spans="1:7" x14ac:dyDescent="0.2">
      <c r="A20" s="8">
        <v>46300</v>
      </c>
      <c r="B20" s="9">
        <v>0.55131944444444447</v>
      </c>
      <c r="C20" s="6">
        <v>11.10547</v>
      </c>
      <c r="D20" s="4">
        <v>799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46300</v>
      </c>
      <c r="B21" s="9">
        <v>0.55133101851851851</v>
      </c>
      <c r="C21" s="6">
        <v>11.60547</v>
      </c>
      <c r="D21" s="4">
        <v>802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74C02-FFC9-45E0-A2C1-AD22E8422235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0.57967592592592587</v>
      </c>
      <c r="C2" s="6">
        <v>1.8125</v>
      </c>
      <c r="D2" s="4">
        <v>733</v>
      </c>
      <c r="E2" s="4" t="s">
        <v>24</v>
      </c>
      <c r="F2" s="4" t="s">
        <v>24</v>
      </c>
      <c r="G2" s="4" t="s">
        <v>24</v>
      </c>
      <c r="I2">
        <f>AVERAGE(D2:D21)</f>
        <v>720.95</v>
      </c>
    </row>
    <row r="3" spans="1:9" x14ac:dyDescent="0.2">
      <c r="A3" s="8">
        <v>46300</v>
      </c>
      <c r="B3" s="9">
        <v>0.57967592592592587</v>
      </c>
      <c r="C3" s="6">
        <v>2.28125</v>
      </c>
      <c r="D3" s="4">
        <v>726</v>
      </c>
      <c r="E3" s="4" t="s">
        <v>24</v>
      </c>
      <c r="F3" s="4" t="s">
        <v>24</v>
      </c>
      <c r="G3" s="4" t="s">
        <v>24</v>
      </c>
      <c r="I3">
        <f>91*(1023-I2)/I2</f>
        <v>38.125459463208259</v>
      </c>
    </row>
    <row r="4" spans="1:9" x14ac:dyDescent="0.2">
      <c r="A4" s="8">
        <v>46300</v>
      </c>
      <c r="B4" s="9">
        <v>0.57968750000000002</v>
      </c>
      <c r="C4" s="6">
        <v>2.78125</v>
      </c>
      <c r="D4" s="4">
        <v>724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0.57969907407407406</v>
      </c>
      <c r="C5" s="6">
        <v>3.796875</v>
      </c>
      <c r="D5" s="4">
        <v>729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46300</v>
      </c>
      <c r="B6" s="9">
        <v>0.57969907407407406</v>
      </c>
      <c r="C6" s="6">
        <v>4.328125</v>
      </c>
      <c r="D6" s="4">
        <v>722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46300</v>
      </c>
      <c r="B7" s="9">
        <v>0.5797106481481481</v>
      </c>
      <c r="C7" s="6">
        <v>5.359375</v>
      </c>
      <c r="D7" s="4">
        <v>721</v>
      </c>
      <c r="E7" s="4" t="s">
        <v>27</v>
      </c>
      <c r="F7" s="4" t="s">
        <v>27</v>
      </c>
      <c r="G7" s="4">
        <v>-237</v>
      </c>
    </row>
    <row r="8" spans="1:9" x14ac:dyDescent="0.2">
      <c r="A8" s="8">
        <v>46300</v>
      </c>
      <c r="B8" s="9">
        <v>0.57972222222222225</v>
      </c>
      <c r="C8" s="6">
        <v>5.890625</v>
      </c>
      <c r="D8" s="4">
        <v>723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46300</v>
      </c>
      <c r="B9" s="9">
        <v>0.57973379629629629</v>
      </c>
      <c r="C9" s="6">
        <v>6.921875</v>
      </c>
      <c r="D9" s="4">
        <v>723</v>
      </c>
      <c r="E9" s="4" t="s">
        <v>27</v>
      </c>
      <c r="F9" s="4" t="s">
        <v>27</v>
      </c>
      <c r="G9" s="4">
        <v>-237</v>
      </c>
    </row>
    <row r="10" spans="1:9" x14ac:dyDescent="0.2">
      <c r="A10" s="8">
        <v>46300</v>
      </c>
      <c r="B10" s="9">
        <v>0.57973379629629629</v>
      </c>
      <c r="C10" s="6">
        <v>7.453125</v>
      </c>
      <c r="D10" s="4">
        <v>718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46300</v>
      </c>
      <c r="B11" s="9">
        <v>0.57974537037037033</v>
      </c>
      <c r="C11" s="6">
        <v>8.484375</v>
      </c>
      <c r="D11" s="4">
        <v>722</v>
      </c>
      <c r="E11" s="4" t="s">
        <v>27</v>
      </c>
      <c r="F11" s="4" t="s">
        <v>27</v>
      </c>
      <c r="G11" s="4">
        <v>-237</v>
      </c>
    </row>
    <row r="12" spans="1:9" x14ac:dyDescent="0.2">
      <c r="A12" s="8">
        <v>46300</v>
      </c>
      <c r="B12" s="9">
        <v>0.57975694444444448</v>
      </c>
      <c r="C12" s="6">
        <v>9.015625</v>
      </c>
      <c r="D12" s="4">
        <v>720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46300</v>
      </c>
      <c r="B13" s="9">
        <v>0.57976851851851852</v>
      </c>
      <c r="C13" s="6">
        <v>10.04688</v>
      </c>
      <c r="D13" s="4">
        <v>718</v>
      </c>
      <c r="E13" s="4" t="s">
        <v>27</v>
      </c>
      <c r="F13" s="4" t="s">
        <v>27</v>
      </c>
      <c r="G13" s="4">
        <v>-237</v>
      </c>
    </row>
    <row r="14" spans="1:9" x14ac:dyDescent="0.2">
      <c r="A14" s="8">
        <v>46300</v>
      </c>
      <c r="B14" s="9">
        <v>0.57976851851851852</v>
      </c>
      <c r="C14" s="6">
        <v>10.566409999999999</v>
      </c>
      <c r="D14" s="4">
        <v>721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46300</v>
      </c>
      <c r="B15" s="9">
        <v>0.57978009259259256</v>
      </c>
      <c r="C15" s="6">
        <v>11.11328</v>
      </c>
      <c r="D15" s="4">
        <v>720</v>
      </c>
      <c r="E15" s="4" t="s">
        <v>27</v>
      </c>
      <c r="F15" s="4" t="s">
        <v>27</v>
      </c>
      <c r="G15" s="4">
        <v>21</v>
      </c>
    </row>
    <row r="16" spans="1:9" x14ac:dyDescent="0.2">
      <c r="A16" s="8">
        <v>46300</v>
      </c>
      <c r="B16" s="9">
        <v>0.57978009259259256</v>
      </c>
      <c r="C16" s="6">
        <v>11.628909999999999</v>
      </c>
      <c r="D16" s="4">
        <v>718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46300</v>
      </c>
      <c r="B17" s="9">
        <v>0.57979166666666671</v>
      </c>
      <c r="C17" s="6">
        <v>12.160159999999999</v>
      </c>
      <c r="D17" s="4">
        <v>719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46300</v>
      </c>
      <c r="B18" s="9">
        <v>0.57980324074074074</v>
      </c>
      <c r="C18" s="6">
        <v>13.191409999999999</v>
      </c>
      <c r="D18" s="4">
        <v>713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46300</v>
      </c>
      <c r="B19" s="9">
        <v>0.57980324074074074</v>
      </c>
      <c r="C19" s="6">
        <v>13.714840000000001</v>
      </c>
      <c r="D19" s="4">
        <v>714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46300</v>
      </c>
      <c r="B20" s="9">
        <v>0.57982638888888893</v>
      </c>
      <c r="C20" s="6">
        <v>14.75</v>
      </c>
      <c r="D20" s="4">
        <v>719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46300</v>
      </c>
      <c r="B21" s="9">
        <v>0.57982638888888893</v>
      </c>
      <c r="C21" s="6">
        <v>15.28125</v>
      </c>
      <c r="D21" s="4">
        <v>716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1F121-4984-4146-BA24-11FE6088D996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31</v>
      </c>
      <c r="B1" s="5" t="s">
        <v>32</v>
      </c>
      <c r="C1" s="7" t="s">
        <v>33</v>
      </c>
      <c r="D1" s="5" t="s">
        <v>34</v>
      </c>
      <c r="E1" s="5" t="s">
        <v>35</v>
      </c>
      <c r="F1" s="5" t="s">
        <v>36</v>
      </c>
      <c r="G1" s="5" t="s">
        <v>37</v>
      </c>
    </row>
    <row r="2" spans="1:9" x14ac:dyDescent="0.2">
      <c r="A2" s="8">
        <v>46300</v>
      </c>
      <c r="B2" s="9">
        <v>0.61017361111111112</v>
      </c>
      <c r="C2" s="6">
        <v>1.808594</v>
      </c>
      <c r="D2" s="4">
        <v>594</v>
      </c>
      <c r="E2" s="4" t="s">
        <v>38</v>
      </c>
      <c r="F2" s="4" t="s">
        <v>38</v>
      </c>
      <c r="G2" s="4" t="s">
        <v>38</v>
      </c>
      <c r="I2">
        <f>AVERAGE(D2:D21)</f>
        <v>595.79999999999995</v>
      </c>
    </row>
    <row r="3" spans="1:9" x14ac:dyDescent="0.2">
      <c r="A3" s="8">
        <v>46300</v>
      </c>
      <c r="B3" s="9">
        <v>0.61017361111111112</v>
      </c>
      <c r="C3" s="6">
        <v>2.2929689999999998</v>
      </c>
      <c r="D3" s="4">
        <v>597</v>
      </c>
      <c r="E3" s="4" t="s">
        <v>38</v>
      </c>
      <c r="F3" s="4" t="s">
        <v>38</v>
      </c>
      <c r="G3" s="4" t="s">
        <v>38</v>
      </c>
      <c r="I3">
        <f>91*(1023-I2)/I2</f>
        <v>65.248741188318235</v>
      </c>
    </row>
    <row r="4" spans="1:9" x14ac:dyDescent="0.2">
      <c r="A4" s="8">
        <v>46300</v>
      </c>
      <c r="B4" s="9">
        <v>0.61018518518518516</v>
      </c>
      <c r="C4" s="6">
        <v>2.78125</v>
      </c>
      <c r="D4" s="4">
        <v>593</v>
      </c>
      <c r="E4" s="4" t="s">
        <v>38</v>
      </c>
      <c r="F4" s="4" t="s">
        <v>38</v>
      </c>
      <c r="G4" s="4" t="s">
        <v>38</v>
      </c>
    </row>
    <row r="5" spans="1:9" x14ac:dyDescent="0.2">
      <c r="A5" s="8">
        <v>46300</v>
      </c>
      <c r="B5" s="9">
        <v>0.61019675925925931</v>
      </c>
      <c r="C5" s="6">
        <v>3.8085939999999998</v>
      </c>
      <c r="D5" s="4">
        <v>602</v>
      </c>
      <c r="E5" s="4" t="s">
        <v>39</v>
      </c>
      <c r="F5" s="10" t="s">
        <v>27</v>
      </c>
      <c r="G5" s="4">
        <v>-237</v>
      </c>
    </row>
    <row r="6" spans="1:9" x14ac:dyDescent="0.2">
      <c r="A6" s="8">
        <v>46300</v>
      </c>
      <c r="B6" s="9">
        <v>0.61020833333333335</v>
      </c>
      <c r="C6" s="6">
        <v>4.3242190000000003</v>
      </c>
      <c r="D6" s="4">
        <v>594</v>
      </c>
      <c r="E6" s="4" t="s">
        <v>39</v>
      </c>
      <c r="F6" s="4" t="s">
        <v>39</v>
      </c>
      <c r="G6" s="4">
        <v>4112</v>
      </c>
    </row>
    <row r="7" spans="1:9" x14ac:dyDescent="0.2">
      <c r="A7" s="8">
        <v>46300</v>
      </c>
      <c r="B7" s="9">
        <v>0.61020833333333335</v>
      </c>
      <c r="C7" s="6">
        <v>4.8710940000000003</v>
      </c>
      <c r="D7" s="4">
        <v>592</v>
      </c>
      <c r="E7" s="4" t="s">
        <v>40</v>
      </c>
      <c r="F7" s="10">
        <v>0.61</v>
      </c>
      <c r="G7" s="4" t="s">
        <v>41</v>
      </c>
    </row>
    <row r="8" spans="1:9" x14ac:dyDescent="0.2">
      <c r="A8" s="8">
        <v>46300</v>
      </c>
      <c r="B8" s="9">
        <v>0.61021990740740739</v>
      </c>
      <c r="C8" s="6">
        <v>5.3867190000000003</v>
      </c>
      <c r="D8" s="4">
        <v>596</v>
      </c>
      <c r="E8" s="4" t="s">
        <v>38</v>
      </c>
      <c r="F8" s="4" t="s">
        <v>38</v>
      </c>
      <c r="G8" s="4" t="s">
        <v>38</v>
      </c>
    </row>
    <row r="9" spans="1:9" x14ac:dyDescent="0.2">
      <c r="A9" s="8">
        <v>46300</v>
      </c>
      <c r="B9" s="9">
        <v>0.61021990740740739</v>
      </c>
      <c r="C9" s="6">
        <v>5.8867190000000003</v>
      </c>
      <c r="D9" s="4">
        <v>599</v>
      </c>
      <c r="E9" s="4" t="s">
        <v>38</v>
      </c>
      <c r="F9" s="4" t="s">
        <v>38</v>
      </c>
      <c r="G9" s="4" t="s">
        <v>38</v>
      </c>
    </row>
    <row r="10" spans="1:9" x14ac:dyDescent="0.2">
      <c r="A10" s="8">
        <v>46300</v>
      </c>
      <c r="B10" s="9">
        <v>0.61023148148148143</v>
      </c>
      <c r="C10" s="6">
        <v>6.3867190000000003</v>
      </c>
      <c r="D10" s="4">
        <v>601</v>
      </c>
      <c r="E10" s="4" t="s">
        <v>38</v>
      </c>
      <c r="F10" s="10" t="s">
        <v>24</v>
      </c>
      <c r="G10" s="4" t="s">
        <v>38</v>
      </c>
    </row>
    <row r="11" spans="1:9" x14ac:dyDescent="0.2">
      <c r="A11" s="8">
        <v>46300</v>
      </c>
      <c r="B11" s="9">
        <v>0.61023148148148143</v>
      </c>
      <c r="C11" s="6">
        <v>6.8867190000000003</v>
      </c>
      <c r="D11" s="4">
        <v>602</v>
      </c>
      <c r="E11" s="4" t="s">
        <v>38</v>
      </c>
      <c r="F11" s="4" t="s">
        <v>38</v>
      </c>
      <c r="G11" s="4" t="s">
        <v>38</v>
      </c>
    </row>
    <row r="12" spans="1:9" x14ac:dyDescent="0.2">
      <c r="A12" s="8">
        <v>46300</v>
      </c>
      <c r="B12" s="9">
        <v>0.61024305555555558</v>
      </c>
      <c r="C12" s="6">
        <v>7.9023440000000003</v>
      </c>
      <c r="D12" s="4">
        <v>595</v>
      </c>
      <c r="E12" s="4" t="s">
        <v>39</v>
      </c>
      <c r="F12" s="4" t="s">
        <v>39</v>
      </c>
      <c r="G12" s="4">
        <v>-237</v>
      </c>
    </row>
    <row r="13" spans="1:9" x14ac:dyDescent="0.2">
      <c r="A13" s="8">
        <v>46300</v>
      </c>
      <c r="B13" s="9">
        <v>0.61025462962962962</v>
      </c>
      <c r="C13" s="6">
        <v>8.4335939999999994</v>
      </c>
      <c r="D13" s="4">
        <v>594</v>
      </c>
      <c r="E13" s="4" t="s">
        <v>39</v>
      </c>
      <c r="F13" s="4" t="s">
        <v>39</v>
      </c>
      <c r="G13" s="4">
        <v>4112</v>
      </c>
    </row>
    <row r="14" spans="1:9" x14ac:dyDescent="0.2">
      <c r="A14" s="8">
        <v>46300</v>
      </c>
      <c r="B14" s="9">
        <v>0.61025462962962962</v>
      </c>
      <c r="C14" s="6">
        <v>8.9804689999999994</v>
      </c>
      <c r="D14" s="4">
        <v>596</v>
      </c>
      <c r="E14" s="4" t="s">
        <v>40</v>
      </c>
      <c r="F14" s="10">
        <v>0.61</v>
      </c>
      <c r="G14" s="4" t="s">
        <v>41</v>
      </c>
    </row>
    <row r="15" spans="1:9" x14ac:dyDescent="0.2">
      <c r="A15" s="8">
        <v>46300</v>
      </c>
      <c r="B15" s="9">
        <v>0.61026620370370366</v>
      </c>
      <c r="C15" s="6">
        <v>9.4960939999999994</v>
      </c>
      <c r="D15" s="4">
        <v>601</v>
      </c>
      <c r="E15" s="4" t="s">
        <v>38</v>
      </c>
      <c r="F15" s="10" t="s">
        <v>38</v>
      </c>
      <c r="G15" s="4" t="s">
        <v>24</v>
      </c>
    </row>
    <row r="16" spans="1:9" x14ac:dyDescent="0.2">
      <c r="A16" s="8">
        <v>46300</v>
      </c>
      <c r="B16" s="9">
        <v>0.61026620370370366</v>
      </c>
      <c r="C16" s="6">
        <v>9.9960939999999994</v>
      </c>
      <c r="D16" s="4">
        <v>589</v>
      </c>
      <c r="E16" s="4" t="s">
        <v>38</v>
      </c>
      <c r="F16" s="4" t="s">
        <v>38</v>
      </c>
      <c r="G16" s="4" t="s">
        <v>24</v>
      </c>
    </row>
    <row r="17" spans="1:7" x14ac:dyDescent="0.2">
      <c r="A17" s="8">
        <v>46300</v>
      </c>
      <c r="B17" s="9">
        <v>0.61027777777777781</v>
      </c>
      <c r="C17" s="6">
        <v>10.496090000000001</v>
      </c>
      <c r="D17" s="4">
        <v>594</v>
      </c>
      <c r="E17" s="4" t="s">
        <v>38</v>
      </c>
      <c r="F17" s="10" t="s">
        <v>24</v>
      </c>
      <c r="G17" s="4" t="s">
        <v>38</v>
      </c>
    </row>
    <row r="18" spans="1:7" x14ac:dyDescent="0.2">
      <c r="A18" s="8">
        <v>46300</v>
      </c>
      <c r="B18" s="9">
        <v>0.61027777777777781</v>
      </c>
      <c r="C18" s="6">
        <v>10.996090000000001</v>
      </c>
      <c r="D18" s="4">
        <v>590</v>
      </c>
      <c r="E18" s="4" t="s">
        <v>38</v>
      </c>
      <c r="F18" s="4" t="s">
        <v>38</v>
      </c>
      <c r="G18" s="4" t="s">
        <v>38</v>
      </c>
    </row>
    <row r="19" spans="1:7" x14ac:dyDescent="0.2">
      <c r="A19" s="8">
        <v>46300</v>
      </c>
      <c r="B19" s="9">
        <v>0.61028935185185185</v>
      </c>
      <c r="C19" s="6">
        <v>12.01172</v>
      </c>
      <c r="D19" s="4">
        <v>596</v>
      </c>
      <c r="E19" s="4" t="s">
        <v>39</v>
      </c>
      <c r="F19" s="4" t="s">
        <v>39</v>
      </c>
      <c r="G19" s="4">
        <v>-237</v>
      </c>
    </row>
    <row r="20" spans="1:7" x14ac:dyDescent="0.2">
      <c r="A20" s="8">
        <v>46300</v>
      </c>
      <c r="B20" s="9">
        <v>0.61030092592592589</v>
      </c>
      <c r="C20" s="6">
        <v>12.54297</v>
      </c>
      <c r="D20" s="4">
        <v>596</v>
      </c>
      <c r="E20" s="4" t="s">
        <v>39</v>
      </c>
      <c r="F20" s="10" t="s">
        <v>39</v>
      </c>
      <c r="G20" s="4">
        <v>4112</v>
      </c>
    </row>
    <row r="21" spans="1:7" x14ac:dyDescent="0.2">
      <c r="A21" s="8">
        <v>46300</v>
      </c>
      <c r="B21" s="9">
        <v>0.61030092592592589</v>
      </c>
      <c r="C21" s="6">
        <v>13.07422</v>
      </c>
      <c r="D21" s="4">
        <v>595</v>
      </c>
      <c r="E21" s="4" t="s">
        <v>40</v>
      </c>
      <c r="F21" s="10">
        <v>0.61</v>
      </c>
      <c r="G21" s="4" t="s">
        <v>41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3694-273E-4263-8E82-092E5C6365A1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31</v>
      </c>
      <c r="B1" s="5" t="s">
        <v>32</v>
      </c>
      <c r="C1" s="7" t="s">
        <v>33</v>
      </c>
      <c r="D1" s="5" t="s">
        <v>34</v>
      </c>
      <c r="E1" s="5" t="s">
        <v>35</v>
      </c>
      <c r="F1" s="5" t="s">
        <v>36</v>
      </c>
      <c r="G1" s="5" t="s">
        <v>37</v>
      </c>
    </row>
    <row r="2" spans="1:9" x14ac:dyDescent="0.2">
      <c r="A2" s="8">
        <v>46300</v>
      </c>
      <c r="B2" s="9">
        <v>0.61131944444444442</v>
      </c>
      <c r="C2" s="6">
        <v>1.808594</v>
      </c>
      <c r="D2" s="4">
        <v>614</v>
      </c>
      <c r="E2" s="4" t="s">
        <v>38</v>
      </c>
      <c r="F2" s="4" t="s">
        <v>38</v>
      </c>
      <c r="G2" s="4" t="s">
        <v>38</v>
      </c>
      <c r="I2">
        <f>AVERAGE(D2:D21)</f>
        <v>611.20000000000005</v>
      </c>
    </row>
    <row r="3" spans="1:9" x14ac:dyDescent="0.2">
      <c r="A3" s="8">
        <v>46300</v>
      </c>
      <c r="B3" s="9">
        <v>0.61131944444444442</v>
      </c>
      <c r="C3" s="6">
        <v>2.2773439999999998</v>
      </c>
      <c r="D3" s="4">
        <v>609</v>
      </c>
      <c r="E3" s="4" t="s">
        <v>38</v>
      </c>
      <c r="F3" s="4" t="s">
        <v>38</v>
      </c>
      <c r="G3" s="4" t="s">
        <v>38</v>
      </c>
      <c r="I3">
        <f>91*(1023-I2)/I2</f>
        <v>61.311845549738209</v>
      </c>
    </row>
    <row r="4" spans="1:9" x14ac:dyDescent="0.2">
      <c r="A4" s="8">
        <v>46300</v>
      </c>
      <c r="B4" s="9">
        <v>0.61133101851851857</v>
      </c>
      <c r="C4" s="6">
        <v>2.7773439999999998</v>
      </c>
      <c r="D4" s="4">
        <v>610</v>
      </c>
      <c r="E4" s="4" t="s">
        <v>38</v>
      </c>
      <c r="F4" s="4" t="s">
        <v>38</v>
      </c>
      <c r="G4" s="4" t="s">
        <v>38</v>
      </c>
    </row>
    <row r="5" spans="1:9" x14ac:dyDescent="0.2">
      <c r="A5" s="8">
        <v>46300</v>
      </c>
      <c r="B5" s="9">
        <v>0.61133101851851857</v>
      </c>
      <c r="C5" s="6">
        <v>3.3085939999999998</v>
      </c>
      <c r="D5" s="4">
        <v>610</v>
      </c>
      <c r="E5" s="4" t="s">
        <v>42</v>
      </c>
      <c r="F5" s="10">
        <v>0.63</v>
      </c>
      <c r="G5" s="4" t="s">
        <v>26</v>
      </c>
    </row>
    <row r="6" spans="1:9" x14ac:dyDescent="0.2">
      <c r="A6" s="8">
        <v>46300</v>
      </c>
      <c r="B6" s="9">
        <v>0.6113425925925926</v>
      </c>
      <c r="C6" s="6">
        <v>3.8242189999999998</v>
      </c>
      <c r="D6" s="4">
        <v>609</v>
      </c>
      <c r="E6" s="4" t="s">
        <v>38</v>
      </c>
      <c r="F6" s="4" t="s">
        <v>38</v>
      </c>
      <c r="G6" s="4" t="s">
        <v>24</v>
      </c>
    </row>
    <row r="7" spans="1:9" x14ac:dyDescent="0.2">
      <c r="A7" s="8">
        <v>46300</v>
      </c>
      <c r="B7" s="9">
        <v>0.6113425925925926</v>
      </c>
      <c r="C7" s="6">
        <v>4.3242190000000003</v>
      </c>
      <c r="D7" s="4">
        <v>613</v>
      </c>
      <c r="E7" s="4" t="s">
        <v>38</v>
      </c>
      <c r="F7" s="10" t="s">
        <v>24</v>
      </c>
      <c r="G7" s="4" t="s">
        <v>38</v>
      </c>
    </row>
    <row r="8" spans="1:9" x14ac:dyDescent="0.2">
      <c r="A8" s="8">
        <v>46300</v>
      </c>
      <c r="B8" s="9">
        <v>0.61135416666666664</v>
      </c>
      <c r="C8" s="6">
        <v>4.8242190000000003</v>
      </c>
      <c r="D8" s="4">
        <v>608</v>
      </c>
      <c r="E8" s="4" t="s">
        <v>38</v>
      </c>
      <c r="F8" s="4" t="s">
        <v>38</v>
      </c>
      <c r="G8" s="4" t="s">
        <v>38</v>
      </c>
    </row>
    <row r="9" spans="1:9" x14ac:dyDescent="0.2">
      <c r="A9" s="8">
        <v>46300</v>
      </c>
      <c r="B9" s="9">
        <v>0.61135416666666664</v>
      </c>
      <c r="C9" s="6">
        <v>5.3242190000000003</v>
      </c>
      <c r="D9" s="4">
        <v>612</v>
      </c>
      <c r="E9" s="4" t="s">
        <v>38</v>
      </c>
      <c r="F9" s="4" t="s">
        <v>38</v>
      </c>
      <c r="G9" s="4" t="s">
        <v>38</v>
      </c>
    </row>
    <row r="10" spans="1:9" x14ac:dyDescent="0.2">
      <c r="A10" s="8">
        <v>46300</v>
      </c>
      <c r="B10" s="9">
        <v>0.61136574074074079</v>
      </c>
      <c r="C10" s="6">
        <v>5.8554690000000003</v>
      </c>
      <c r="D10" s="4">
        <v>611</v>
      </c>
      <c r="E10" s="4" t="s">
        <v>42</v>
      </c>
      <c r="F10" s="10">
        <v>0.63</v>
      </c>
      <c r="G10" s="4" t="s">
        <v>41</v>
      </c>
    </row>
    <row r="11" spans="1:9" x14ac:dyDescent="0.2">
      <c r="A11" s="8">
        <v>46300</v>
      </c>
      <c r="B11" s="9">
        <v>0.61136574074074079</v>
      </c>
      <c r="C11" s="6">
        <v>6.3710940000000003</v>
      </c>
      <c r="D11" s="4">
        <v>611</v>
      </c>
      <c r="E11" s="4" t="s">
        <v>38</v>
      </c>
      <c r="F11" s="4" t="s">
        <v>38</v>
      </c>
      <c r="G11" s="4" t="s">
        <v>38</v>
      </c>
    </row>
    <row r="12" spans="1:9" x14ac:dyDescent="0.2">
      <c r="A12" s="8">
        <v>46300</v>
      </c>
      <c r="B12" s="9">
        <v>0.61137731481481483</v>
      </c>
      <c r="C12" s="6">
        <v>6.8710940000000003</v>
      </c>
      <c r="D12" s="4">
        <v>612</v>
      </c>
      <c r="E12" s="4" t="s">
        <v>38</v>
      </c>
      <c r="F12" s="10" t="s">
        <v>24</v>
      </c>
      <c r="G12" s="4" t="s">
        <v>38</v>
      </c>
    </row>
    <row r="13" spans="1:9" x14ac:dyDescent="0.2">
      <c r="A13" s="8">
        <v>46300</v>
      </c>
      <c r="B13" s="9">
        <v>0.61137731481481483</v>
      </c>
      <c r="C13" s="6">
        <v>7.3710940000000003</v>
      </c>
      <c r="D13" s="4">
        <v>610</v>
      </c>
      <c r="E13" s="4" t="s">
        <v>38</v>
      </c>
      <c r="F13" s="4" t="s">
        <v>38</v>
      </c>
      <c r="G13" s="4" t="s">
        <v>38</v>
      </c>
    </row>
    <row r="14" spans="1:9" x14ac:dyDescent="0.2">
      <c r="A14" s="8">
        <v>46300</v>
      </c>
      <c r="B14" s="9">
        <v>0.61138888888888887</v>
      </c>
      <c r="C14" s="6">
        <v>7.8710940000000003</v>
      </c>
      <c r="D14" s="4">
        <v>608</v>
      </c>
      <c r="E14" s="4" t="s">
        <v>38</v>
      </c>
      <c r="F14" s="4" t="s">
        <v>38</v>
      </c>
      <c r="G14" s="4" t="s">
        <v>38</v>
      </c>
    </row>
    <row r="15" spans="1:9" x14ac:dyDescent="0.2">
      <c r="A15" s="8">
        <v>46300</v>
      </c>
      <c r="B15" s="9">
        <v>0.61140046296296291</v>
      </c>
      <c r="C15" s="6">
        <v>8.8867189999999994</v>
      </c>
      <c r="D15" s="4">
        <v>615</v>
      </c>
      <c r="E15" s="4" t="s">
        <v>39</v>
      </c>
      <c r="F15" s="4" t="s">
        <v>39</v>
      </c>
      <c r="G15" s="4">
        <v>-237</v>
      </c>
    </row>
    <row r="16" spans="1:9" x14ac:dyDescent="0.2">
      <c r="A16" s="8">
        <v>46300</v>
      </c>
      <c r="B16" s="9">
        <v>0.61141203703703706</v>
      </c>
      <c r="C16" s="6">
        <v>9.4179689999999994</v>
      </c>
      <c r="D16" s="4">
        <v>615</v>
      </c>
      <c r="E16" s="4" t="s">
        <v>39</v>
      </c>
      <c r="F16" s="4" t="s">
        <v>39</v>
      </c>
      <c r="G16" s="4">
        <v>4112</v>
      </c>
    </row>
    <row r="17" spans="1:7" x14ac:dyDescent="0.2">
      <c r="A17" s="8">
        <v>46300</v>
      </c>
      <c r="B17" s="9">
        <v>0.61141203703703706</v>
      </c>
      <c r="C17" s="6">
        <v>9.9492189999999994</v>
      </c>
      <c r="D17" s="4">
        <v>615</v>
      </c>
      <c r="E17" s="4" t="s">
        <v>42</v>
      </c>
      <c r="F17" s="10">
        <v>0.63</v>
      </c>
      <c r="G17" s="4" t="s">
        <v>41</v>
      </c>
    </row>
    <row r="18" spans="1:7" x14ac:dyDescent="0.2">
      <c r="A18" s="8">
        <v>46300</v>
      </c>
      <c r="B18" s="9">
        <v>0.6114236111111111</v>
      </c>
      <c r="C18" s="6">
        <v>10.48047</v>
      </c>
      <c r="D18" s="4">
        <v>613</v>
      </c>
      <c r="E18" s="4" t="s">
        <v>38</v>
      </c>
      <c r="F18" s="4" t="s">
        <v>38</v>
      </c>
      <c r="G18" s="4" t="s">
        <v>38</v>
      </c>
    </row>
    <row r="19" spans="1:7" x14ac:dyDescent="0.2">
      <c r="A19" s="8">
        <v>46300</v>
      </c>
      <c r="B19" s="9">
        <v>0.6114236111111111</v>
      </c>
      <c r="C19" s="6">
        <v>10.98047</v>
      </c>
      <c r="D19" s="4">
        <v>608</v>
      </c>
      <c r="E19" s="4" t="s">
        <v>38</v>
      </c>
      <c r="F19" s="4" t="s">
        <v>38</v>
      </c>
      <c r="G19" s="4" t="s">
        <v>38</v>
      </c>
    </row>
    <row r="20" spans="1:7" x14ac:dyDescent="0.2">
      <c r="A20" s="8">
        <v>46300</v>
      </c>
      <c r="B20" s="9">
        <v>0.61143518518518514</v>
      </c>
      <c r="C20" s="6">
        <v>11.48047</v>
      </c>
      <c r="D20" s="4">
        <v>613</v>
      </c>
      <c r="E20" s="4" t="s">
        <v>38</v>
      </c>
      <c r="F20" s="4" t="s">
        <v>38</v>
      </c>
      <c r="G20" s="4" t="s">
        <v>38</v>
      </c>
    </row>
    <row r="21" spans="1:7" x14ac:dyDescent="0.2">
      <c r="A21" s="8">
        <v>46300</v>
      </c>
      <c r="B21" s="9">
        <v>0.61143518518518514</v>
      </c>
      <c r="C21" s="6">
        <v>11.98047</v>
      </c>
      <c r="D21" s="4">
        <v>608</v>
      </c>
      <c r="E21" s="4" t="s">
        <v>38</v>
      </c>
      <c r="F21" s="4" t="s">
        <v>38</v>
      </c>
      <c r="G21" s="4" t="s">
        <v>38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F9CB0-3753-41AF-A2F9-7DA6662C1251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0.5892708333333333</v>
      </c>
      <c r="C2" s="6">
        <v>1.796875</v>
      </c>
      <c r="D2" s="4">
        <v>873</v>
      </c>
      <c r="E2" s="4" t="s">
        <v>24</v>
      </c>
      <c r="F2" s="4" t="s">
        <v>24</v>
      </c>
      <c r="G2" s="4" t="s">
        <v>24</v>
      </c>
      <c r="I2">
        <f>AVERAGE(D2:D21)</f>
        <v>866.2</v>
      </c>
    </row>
    <row r="3" spans="1:9" x14ac:dyDescent="0.2">
      <c r="A3" s="8">
        <v>46300</v>
      </c>
      <c r="B3" s="9">
        <v>0.58928240740740745</v>
      </c>
      <c r="C3" s="6">
        <v>2.28125</v>
      </c>
      <c r="D3" s="4">
        <v>873</v>
      </c>
      <c r="E3" s="4" t="s">
        <v>24</v>
      </c>
      <c r="F3" s="4" t="s">
        <v>24</v>
      </c>
      <c r="G3" s="4" t="s">
        <v>24</v>
      </c>
      <c r="I3">
        <f>91*(1023-I2)/I2</f>
        <v>16.472870006926801</v>
      </c>
    </row>
    <row r="4" spans="1:9" x14ac:dyDescent="0.2">
      <c r="A4" s="8">
        <v>46300</v>
      </c>
      <c r="B4" s="9">
        <v>0.58928240740740745</v>
      </c>
      <c r="C4" s="6">
        <v>2.78125</v>
      </c>
      <c r="D4" s="4">
        <v>872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0.58929398148148149</v>
      </c>
      <c r="C5" s="6">
        <v>3.296875</v>
      </c>
      <c r="D5" s="4">
        <v>872</v>
      </c>
      <c r="E5" s="4" t="s">
        <v>28</v>
      </c>
      <c r="F5" s="10">
        <v>0.6</v>
      </c>
      <c r="G5" s="4" t="s">
        <v>26</v>
      </c>
    </row>
    <row r="6" spans="1:9" x14ac:dyDescent="0.2">
      <c r="A6" s="8">
        <v>46300</v>
      </c>
      <c r="B6" s="9">
        <v>0.58929398148148149</v>
      </c>
      <c r="C6" s="6">
        <v>3.828125</v>
      </c>
      <c r="D6" s="4">
        <v>870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46300</v>
      </c>
      <c r="B7" s="9">
        <v>0.58930555555555553</v>
      </c>
      <c r="C7" s="6">
        <v>4.328125</v>
      </c>
      <c r="D7" s="4">
        <v>869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46300</v>
      </c>
      <c r="B8" s="9">
        <v>0.58930555555555553</v>
      </c>
      <c r="C8" s="6">
        <v>4.828125</v>
      </c>
      <c r="D8" s="4">
        <v>868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46300</v>
      </c>
      <c r="B9" s="9">
        <v>0.58931712962962968</v>
      </c>
      <c r="C9" s="6">
        <v>5.328125</v>
      </c>
      <c r="D9" s="4">
        <v>867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46300</v>
      </c>
      <c r="B10" s="9">
        <v>0.58931712962962968</v>
      </c>
      <c r="C10" s="6">
        <v>5.84375</v>
      </c>
      <c r="D10" s="4">
        <v>867</v>
      </c>
      <c r="E10" s="4" t="s">
        <v>28</v>
      </c>
      <c r="F10" s="10">
        <v>0.6</v>
      </c>
      <c r="G10" s="4" t="s">
        <v>26</v>
      </c>
    </row>
    <row r="11" spans="1:9" x14ac:dyDescent="0.2">
      <c r="A11" s="8">
        <v>46300</v>
      </c>
      <c r="B11" s="9">
        <v>0.58932870370370372</v>
      </c>
      <c r="C11" s="6">
        <v>6.375</v>
      </c>
      <c r="D11" s="4">
        <v>866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46300</v>
      </c>
      <c r="B12" s="9">
        <v>0.58932870370370372</v>
      </c>
      <c r="C12" s="6">
        <v>6.875</v>
      </c>
      <c r="D12" s="4">
        <v>866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46300</v>
      </c>
      <c r="B13" s="9">
        <v>0.58934027777777775</v>
      </c>
      <c r="C13" s="6">
        <v>7.375</v>
      </c>
      <c r="D13" s="4">
        <v>865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46300</v>
      </c>
      <c r="B14" s="9">
        <v>0.58934027777777775</v>
      </c>
      <c r="C14" s="6">
        <v>7.875</v>
      </c>
      <c r="D14" s="4">
        <v>864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46300</v>
      </c>
      <c r="B15" s="9">
        <v>0.5893518518518519</v>
      </c>
      <c r="C15" s="6">
        <v>8.390625</v>
      </c>
      <c r="D15" s="4">
        <v>863</v>
      </c>
      <c r="E15" s="4" t="s">
        <v>27</v>
      </c>
      <c r="F15" s="4" t="s">
        <v>27</v>
      </c>
      <c r="G15" s="4">
        <v>21</v>
      </c>
    </row>
    <row r="16" spans="1:9" x14ac:dyDescent="0.2">
      <c r="A16" s="8">
        <v>46300</v>
      </c>
      <c r="B16" s="9">
        <v>0.5893518518518519</v>
      </c>
      <c r="C16" s="6">
        <v>8.90625</v>
      </c>
      <c r="D16" s="4">
        <v>863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46300</v>
      </c>
      <c r="B17" s="9">
        <v>0.58936342592592594</v>
      </c>
      <c r="C17" s="6">
        <v>9.4375</v>
      </c>
      <c r="D17" s="4">
        <v>862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46300</v>
      </c>
      <c r="B18" s="9">
        <v>0.58937499999999998</v>
      </c>
      <c r="C18" s="6">
        <v>10.46875</v>
      </c>
      <c r="D18" s="4">
        <v>863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46300</v>
      </c>
      <c r="B19" s="9">
        <v>0.58937499999999998</v>
      </c>
      <c r="C19" s="6">
        <v>11</v>
      </c>
      <c r="D19" s="4">
        <v>861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46300</v>
      </c>
      <c r="B20" s="9">
        <v>0.58938657407407402</v>
      </c>
      <c r="C20" s="6">
        <v>11.53125</v>
      </c>
      <c r="D20" s="4">
        <v>860</v>
      </c>
      <c r="E20" s="4" t="s">
        <v>28</v>
      </c>
      <c r="F20" s="10">
        <v>0.6</v>
      </c>
      <c r="G20" s="4" t="s">
        <v>26</v>
      </c>
    </row>
    <row r="21" spans="1:7" x14ac:dyDescent="0.2">
      <c r="A21" s="8">
        <v>46300</v>
      </c>
      <c r="B21" s="9">
        <v>0.58938657407407402</v>
      </c>
      <c r="C21" s="6">
        <v>12.058590000000001</v>
      </c>
      <c r="D21" s="4">
        <v>860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53A3-B45C-481D-84E2-FE1E78B5CFBF}"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0.58990740740740744</v>
      </c>
      <c r="C2" s="6">
        <v>1.8125</v>
      </c>
      <c r="D2" s="4">
        <v>832</v>
      </c>
      <c r="E2" s="4" t="s">
        <v>24</v>
      </c>
      <c r="F2" s="4" t="s">
        <v>24</v>
      </c>
      <c r="G2" s="4" t="s">
        <v>24</v>
      </c>
      <c r="I2">
        <f>AVERAGE(D2:D21)</f>
        <v>824.75</v>
      </c>
    </row>
    <row r="3" spans="1:9" x14ac:dyDescent="0.2">
      <c r="A3" s="8">
        <v>46300</v>
      </c>
      <c r="B3" s="9">
        <v>0.58990740740740744</v>
      </c>
      <c r="C3" s="6">
        <v>2.296875</v>
      </c>
      <c r="D3" s="4">
        <v>831</v>
      </c>
      <c r="E3" s="4" t="s">
        <v>24</v>
      </c>
      <c r="F3" s="4" t="s">
        <v>24</v>
      </c>
      <c r="G3" s="4" t="s">
        <v>24</v>
      </c>
      <c r="I3">
        <f>91*(1023-I2)/I2</f>
        <v>21.874204304334647</v>
      </c>
    </row>
    <row r="4" spans="1:9" x14ac:dyDescent="0.2">
      <c r="A4" s="8">
        <v>46300</v>
      </c>
      <c r="B4" s="9">
        <v>0.58991898148148147</v>
      </c>
      <c r="C4" s="6">
        <v>2.796875</v>
      </c>
      <c r="D4" s="4">
        <v>831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0.58993055555555551</v>
      </c>
      <c r="C5" s="6">
        <v>3.8125</v>
      </c>
      <c r="D5" s="4">
        <v>830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46300</v>
      </c>
      <c r="B6" s="9">
        <v>0.58993055555555551</v>
      </c>
      <c r="C6" s="6">
        <v>4.328125</v>
      </c>
      <c r="D6" s="4">
        <v>827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46300</v>
      </c>
      <c r="B7" s="9">
        <v>0.58994212962962966</v>
      </c>
      <c r="C7" s="6">
        <v>5.375</v>
      </c>
      <c r="D7" s="4">
        <v>827</v>
      </c>
      <c r="E7" s="4" t="s">
        <v>27</v>
      </c>
      <c r="F7" s="4" t="s">
        <v>27</v>
      </c>
      <c r="G7" s="4">
        <v>-237</v>
      </c>
    </row>
    <row r="8" spans="1:9" x14ac:dyDescent="0.2">
      <c r="A8" s="8">
        <v>46300</v>
      </c>
      <c r="B8" s="9">
        <v>0.5899537037037037</v>
      </c>
      <c r="C8" s="6">
        <v>5.890625</v>
      </c>
      <c r="D8" s="4">
        <v>825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46300</v>
      </c>
      <c r="B9" s="9">
        <v>0.5899537037037037</v>
      </c>
      <c r="C9" s="6">
        <v>6.4375</v>
      </c>
      <c r="D9" s="4">
        <v>824</v>
      </c>
      <c r="E9" s="4" t="s">
        <v>28</v>
      </c>
      <c r="F9" s="10">
        <v>0.59</v>
      </c>
      <c r="G9" s="4" t="s">
        <v>26</v>
      </c>
    </row>
    <row r="10" spans="1:9" x14ac:dyDescent="0.2">
      <c r="A10" s="8">
        <v>46300</v>
      </c>
      <c r="B10" s="9">
        <v>0.58996527777777774</v>
      </c>
      <c r="C10" s="6">
        <v>6.953125</v>
      </c>
      <c r="D10" s="4">
        <v>824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46300</v>
      </c>
      <c r="B11" s="9">
        <v>0.58996527777777774</v>
      </c>
      <c r="C11" s="6">
        <v>7.453125</v>
      </c>
      <c r="D11" s="4">
        <v>825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46300</v>
      </c>
      <c r="B12" s="9">
        <v>0.58997685185185189</v>
      </c>
      <c r="C12" s="6">
        <v>7.953125</v>
      </c>
      <c r="D12" s="4">
        <v>823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46300</v>
      </c>
      <c r="B13" s="9">
        <v>0.58997685185185189</v>
      </c>
      <c r="C13" s="6">
        <v>8.453125</v>
      </c>
      <c r="D13" s="4">
        <v>822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46300</v>
      </c>
      <c r="B14" s="9">
        <v>0.58998842592592593</v>
      </c>
      <c r="C14" s="6">
        <v>8.984375</v>
      </c>
      <c r="D14" s="4">
        <v>823</v>
      </c>
      <c r="E14" s="4" t="s">
        <v>28</v>
      </c>
      <c r="F14" s="10">
        <v>0.59</v>
      </c>
      <c r="G14" s="4" t="s">
        <v>26</v>
      </c>
    </row>
    <row r="15" spans="1:9" x14ac:dyDescent="0.2">
      <c r="A15" s="8">
        <v>46300</v>
      </c>
      <c r="B15" s="9">
        <v>0.58998842592592593</v>
      </c>
      <c r="C15" s="6">
        <v>9.5</v>
      </c>
      <c r="D15" s="4">
        <v>821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46300</v>
      </c>
      <c r="B16" s="9">
        <v>0.59</v>
      </c>
      <c r="C16" s="6">
        <v>10</v>
      </c>
      <c r="D16" s="4">
        <v>822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0.59</v>
      </c>
      <c r="C17" s="6">
        <v>10.5</v>
      </c>
      <c r="D17" s="4">
        <v>823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46300</v>
      </c>
      <c r="B18" s="9">
        <v>0.59001157407407412</v>
      </c>
      <c r="C18" s="6">
        <v>11</v>
      </c>
      <c r="D18" s="4">
        <v>821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46300</v>
      </c>
      <c r="B19" s="9">
        <v>0.59001157407407412</v>
      </c>
      <c r="C19" s="6">
        <v>11.527340000000001</v>
      </c>
      <c r="D19" s="4">
        <v>822</v>
      </c>
      <c r="E19" s="4" t="s">
        <v>28</v>
      </c>
      <c r="F19" s="10">
        <v>0.59</v>
      </c>
      <c r="G19" s="4" t="s">
        <v>26</v>
      </c>
    </row>
    <row r="20" spans="1:7" x14ac:dyDescent="0.2">
      <c r="A20" s="8">
        <v>46300</v>
      </c>
      <c r="B20" s="9">
        <v>0.59002314814814816</v>
      </c>
      <c r="C20" s="6">
        <v>12.04297</v>
      </c>
      <c r="D20" s="4">
        <v>821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46300</v>
      </c>
      <c r="B21" s="9">
        <v>0.59002314814814816</v>
      </c>
      <c r="C21" s="6">
        <v>12.54297</v>
      </c>
      <c r="D21" s="4">
        <v>821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6BA66-0FDF-493F-85AD-1661AB73707F}">
  <dimension ref="A1:I24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0.59054398148148146</v>
      </c>
      <c r="C2" s="6">
        <v>1.816406</v>
      </c>
      <c r="D2" s="4">
        <v>807</v>
      </c>
      <c r="E2" s="4" t="s">
        <v>24</v>
      </c>
      <c r="F2" s="4" t="s">
        <v>24</v>
      </c>
      <c r="G2" s="4" t="s">
        <v>24</v>
      </c>
      <c r="I2">
        <f>AVERAGE(D2:D21)</f>
        <v>802.15</v>
      </c>
    </row>
    <row r="3" spans="1:9" x14ac:dyDescent="0.2">
      <c r="A3" s="8">
        <v>46300</v>
      </c>
      <c r="B3" s="9">
        <v>0.59054398148148146</v>
      </c>
      <c r="C3" s="6">
        <v>2.2851560000000002</v>
      </c>
      <c r="D3" s="4">
        <v>807</v>
      </c>
      <c r="E3" s="4" t="s">
        <v>24</v>
      </c>
      <c r="F3" s="4" t="s">
        <v>24</v>
      </c>
      <c r="G3" s="4" t="s">
        <v>24</v>
      </c>
      <c r="I3">
        <f>91*(1023-I2)/I2</f>
        <v>25.054353923829712</v>
      </c>
    </row>
    <row r="4" spans="1:9" x14ac:dyDescent="0.2">
      <c r="A4" s="8">
        <v>46300</v>
      </c>
      <c r="B4" s="9">
        <v>0.5905555555555555</v>
      </c>
      <c r="C4" s="6">
        <v>2.7851560000000002</v>
      </c>
      <c r="D4" s="4">
        <v>804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0.59056712962962965</v>
      </c>
      <c r="C5" s="6">
        <v>3.7929689999999998</v>
      </c>
      <c r="D5" s="4">
        <v>804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46300</v>
      </c>
      <c r="B6" s="9">
        <v>0.59056712962962965</v>
      </c>
      <c r="C6" s="6">
        <v>4.328125</v>
      </c>
      <c r="D6" s="4">
        <v>802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46300</v>
      </c>
      <c r="B7" s="9">
        <v>0.59057870370370369</v>
      </c>
      <c r="C7" s="6">
        <v>4.859375</v>
      </c>
      <c r="D7" s="4">
        <v>801</v>
      </c>
      <c r="E7" s="4" t="s">
        <v>27</v>
      </c>
      <c r="F7" s="4" t="s">
        <v>27</v>
      </c>
      <c r="G7" s="4">
        <v>21</v>
      </c>
    </row>
    <row r="8" spans="1:9" x14ac:dyDescent="0.2">
      <c r="A8" s="8">
        <v>46300</v>
      </c>
      <c r="B8" s="9">
        <v>0.59057870370370369</v>
      </c>
      <c r="C8" s="6">
        <v>5.390625</v>
      </c>
      <c r="D8" s="4">
        <v>802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46300</v>
      </c>
      <c r="B9" s="9">
        <v>0.59059027777777773</v>
      </c>
      <c r="C9" s="6">
        <v>5.9023440000000003</v>
      </c>
      <c r="D9" s="4">
        <v>803</v>
      </c>
      <c r="E9" s="4" t="s">
        <v>27</v>
      </c>
      <c r="F9" s="4" t="s">
        <v>27</v>
      </c>
      <c r="G9" s="4">
        <v>4112</v>
      </c>
    </row>
    <row r="10" spans="1:9" x14ac:dyDescent="0.2">
      <c r="A10" s="8">
        <v>46300</v>
      </c>
      <c r="B10" s="9">
        <v>0.59059027777777773</v>
      </c>
      <c r="C10" s="6">
        <v>6.4335940000000003</v>
      </c>
      <c r="D10" s="4">
        <v>801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46300</v>
      </c>
      <c r="B11" s="9">
        <v>0.59060185185185188</v>
      </c>
      <c r="C11" s="6">
        <v>6.9648440000000003</v>
      </c>
      <c r="D11" s="4">
        <v>801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46300</v>
      </c>
      <c r="B12" s="9">
        <v>0.59060185185185188</v>
      </c>
      <c r="C12" s="6">
        <v>7.4804690000000003</v>
      </c>
      <c r="D12" s="4">
        <v>801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46300</v>
      </c>
      <c r="B13" s="9">
        <v>0.59061342592592592</v>
      </c>
      <c r="C13" s="6">
        <v>8.5273439999999994</v>
      </c>
      <c r="D13" s="4">
        <v>801</v>
      </c>
      <c r="E13" s="4" t="s">
        <v>27</v>
      </c>
      <c r="F13" s="4" t="s">
        <v>27</v>
      </c>
      <c r="G13" s="4">
        <v>-237</v>
      </c>
    </row>
    <row r="14" spans="1:9" x14ac:dyDescent="0.2">
      <c r="A14" s="8">
        <v>46300</v>
      </c>
      <c r="B14" s="9">
        <v>0.59062499999999996</v>
      </c>
      <c r="C14" s="6">
        <v>9.0429689999999994</v>
      </c>
      <c r="D14" s="4">
        <v>802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46300</v>
      </c>
      <c r="B15" s="9">
        <v>0.59062499999999996</v>
      </c>
      <c r="C15" s="6">
        <v>9.5898439999999994</v>
      </c>
      <c r="D15" s="4">
        <v>801</v>
      </c>
      <c r="E15" s="4" t="s">
        <v>28</v>
      </c>
      <c r="F15" s="10">
        <v>0.59</v>
      </c>
      <c r="G15" s="4" t="s">
        <v>26</v>
      </c>
    </row>
    <row r="16" spans="1:9" x14ac:dyDescent="0.2">
      <c r="A16" s="8">
        <v>46300</v>
      </c>
      <c r="B16" s="9">
        <v>0.59063657407407411</v>
      </c>
      <c r="C16" s="6">
        <v>10.10547</v>
      </c>
      <c r="D16" s="4">
        <v>801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0.59063657407407411</v>
      </c>
      <c r="C17" s="6">
        <v>10.60547</v>
      </c>
      <c r="D17" s="4">
        <v>802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46300</v>
      </c>
      <c r="B18" s="9">
        <v>0.59064814814814814</v>
      </c>
      <c r="C18" s="6">
        <v>11.10547</v>
      </c>
      <c r="D18" s="4">
        <v>800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46300</v>
      </c>
      <c r="B19" s="9">
        <v>0.59064814814814814</v>
      </c>
      <c r="C19" s="6">
        <v>11.621090000000001</v>
      </c>
      <c r="D19" s="4">
        <v>802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46300</v>
      </c>
      <c r="B20" s="9">
        <v>0.59065972222222218</v>
      </c>
      <c r="C20" s="6">
        <v>12.63672</v>
      </c>
      <c r="D20" s="4">
        <v>801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46300</v>
      </c>
      <c r="B21" s="9">
        <v>0.59067129629629633</v>
      </c>
      <c r="C21" s="6">
        <v>13.152340000000001</v>
      </c>
      <c r="D21" s="4">
        <v>800</v>
      </c>
      <c r="E21" s="4" t="s">
        <v>27</v>
      </c>
      <c r="F21" s="4" t="s">
        <v>27</v>
      </c>
      <c r="G21" s="4">
        <v>4112</v>
      </c>
    </row>
    <row r="22" spans="1:7" x14ac:dyDescent="0.2">
      <c r="A22" s="8"/>
      <c r="B22" s="9"/>
      <c r="F22" s="10"/>
    </row>
    <row r="23" spans="1:7" x14ac:dyDescent="0.2">
      <c r="A23" s="8"/>
      <c r="B23" s="9"/>
    </row>
    <row r="24" spans="1:7" x14ac:dyDescent="0.2">
      <c r="A24" s="8"/>
      <c r="B24" s="9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AB503-F743-437D-BF52-19F9390AB90B}">
  <dimension ref="A1:I25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0.59098379629629627</v>
      </c>
      <c r="C2" s="6">
        <v>1.8203130000000001</v>
      </c>
      <c r="D2" s="4">
        <v>804</v>
      </c>
      <c r="E2" s="4" t="s">
        <v>24</v>
      </c>
      <c r="F2" s="4" t="s">
        <v>24</v>
      </c>
      <c r="G2" s="4" t="s">
        <v>24</v>
      </c>
      <c r="I2">
        <f>AVERAGE(D2:D21)</f>
        <v>805.9</v>
      </c>
    </row>
    <row r="3" spans="1:9" x14ac:dyDescent="0.2">
      <c r="A3" s="8">
        <v>46300</v>
      </c>
      <c r="B3" s="9">
        <v>0.59099537037037042</v>
      </c>
      <c r="C3" s="6">
        <v>2.2890630000000001</v>
      </c>
      <c r="D3" s="4">
        <v>805</v>
      </c>
      <c r="E3" s="4" t="s">
        <v>24</v>
      </c>
      <c r="F3" s="4" t="s">
        <v>24</v>
      </c>
      <c r="G3" s="4" t="s">
        <v>24</v>
      </c>
      <c r="I3">
        <f>91*(1023-I2)/I2</f>
        <v>24.514331802953222</v>
      </c>
    </row>
    <row r="4" spans="1:9" x14ac:dyDescent="0.2">
      <c r="A4" s="8">
        <v>46300</v>
      </c>
      <c r="B4" s="9">
        <v>0.59099537037037042</v>
      </c>
      <c r="C4" s="6">
        <v>2.7890630000000001</v>
      </c>
      <c r="D4" s="4">
        <v>806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0.59100694444444446</v>
      </c>
      <c r="C5" s="6">
        <v>3.8046880000000001</v>
      </c>
      <c r="D5" s="4">
        <v>807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46300</v>
      </c>
      <c r="B6" s="9">
        <v>0.5910185185185185</v>
      </c>
      <c r="C6" s="6">
        <v>4.3359379999999996</v>
      </c>
      <c r="D6" s="4">
        <v>807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46300</v>
      </c>
      <c r="B7" s="9">
        <v>0.5910185185185185</v>
      </c>
      <c r="C7" s="6">
        <v>4.8671879999999996</v>
      </c>
      <c r="D7" s="4">
        <v>807</v>
      </c>
      <c r="E7" s="4" t="s">
        <v>28</v>
      </c>
      <c r="F7" s="10">
        <v>0.59</v>
      </c>
      <c r="G7" s="4" t="s">
        <v>26</v>
      </c>
    </row>
    <row r="8" spans="1:9" x14ac:dyDescent="0.2">
      <c r="A8" s="8">
        <v>46300</v>
      </c>
      <c r="B8" s="9">
        <v>0.59103009259259254</v>
      </c>
      <c r="C8" s="6">
        <v>5.3828129999999996</v>
      </c>
      <c r="D8" s="4">
        <v>806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46300</v>
      </c>
      <c r="B9" s="9">
        <v>0.59103009259259254</v>
      </c>
      <c r="C9" s="6">
        <v>5.8984379999999996</v>
      </c>
      <c r="D9" s="4">
        <v>806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46300</v>
      </c>
      <c r="B10" s="9">
        <v>0.59104166666666669</v>
      </c>
      <c r="C10" s="6">
        <v>6.3984379999999996</v>
      </c>
      <c r="D10" s="4">
        <v>804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46300</v>
      </c>
      <c r="B11" s="9">
        <v>0.59104166666666669</v>
      </c>
      <c r="C11" s="6">
        <v>6.8984379999999996</v>
      </c>
      <c r="D11" s="4">
        <v>804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46300</v>
      </c>
      <c r="B12" s="9">
        <v>0.59105324074074073</v>
      </c>
      <c r="C12" s="6">
        <v>7.4140629999999996</v>
      </c>
      <c r="D12" s="4">
        <v>805</v>
      </c>
      <c r="E12" s="4" t="s">
        <v>28</v>
      </c>
      <c r="F12" s="10">
        <v>0.59</v>
      </c>
      <c r="G12" s="4" t="s">
        <v>26</v>
      </c>
    </row>
    <row r="13" spans="1:9" x14ac:dyDescent="0.2">
      <c r="A13" s="8">
        <v>46300</v>
      </c>
      <c r="B13" s="9">
        <v>0.59105324074074073</v>
      </c>
      <c r="C13" s="6">
        <v>7.9296879999999996</v>
      </c>
      <c r="D13" s="4">
        <v>804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46300</v>
      </c>
      <c r="B14" s="9">
        <v>0.59106481481481477</v>
      </c>
      <c r="C14" s="6">
        <v>8.4296880000000005</v>
      </c>
      <c r="D14" s="4">
        <v>806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46300</v>
      </c>
      <c r="B15" s="9">
        <v>0.59106481481481477</v>
      </c>
      <c r="C15" s="6">
        <v>8.9414060000000006</v>
      </c>
      <c r="D15" s="4">
        <v>806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46300</v>
      </c>
      <c r="B16" s="9">
        <v>0.59107638888888892</v>
      </c>
      <c r="C16" s="6">
        <v>9.4414060000000006</v>
      </c>
      <c r="D16" s="4">
        <v>806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0.59107638888888892</v>
      </c>
      <c r="C17" s="6">
        <v>9.9609380000000005</v>
      </c>
      <c r="D17" s="4">
        <v>807</v>
      </c>
      <c r="E17" s="4" t="s">
        <v>28</v>
      </c>
      <c r="F17" s="10">
        <v>0.59</v>
      </c>
      <c r="G17" s="4" t="s">
        <v>26</v>
      </c>
    </row>
    <row r="18" spans="1:7" x14ac:dyDescent="0.2">
      <c r="A18" s="8">
        <v>46300</v>
      </c>
      <c r="B18" s="9">
        <v>0.59108796296296295</v>
      </c>
      <c r="C18" s="6">
        <v>10.472659999999999</v>
      </c>
      <c r="D18" s="4">
        <v>806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46300</v>
      </c>
      <c r="B19" s="9">
        <v>0.59108796296296295</v>
      </c>
      <c r="C19" s="6">
        <v>10.972659999999999</v>
      </c>
      <c r="D19" s="4">
        <v>808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46300</v>
      </c>
      <c r="B20" s="9">
        <v>0.59109953703703699</v>
      </c>
      <c r="C20" s="6">
        <v>11.472659999999999</v>
      </c>
      <c r="D20" s="4">
        <v>808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46300</v>
      </c>
      <c r="B21" s="9">
        <v>0.59109953703703699</v>
      </c>
      <c r="C21" s="6">
        <v>11.972659999999999</v>
      </c>
      <c r="D21" s="4">
        <v>806</v>
      </c>
      <c r="E21" s="4" t="s">
        <v>24</v>
      </c>
      <c r="F21" s="4" t="s">
        <v>24</v>
      </c>
      <c r="G21" s="4" t="s">
        <v>24</v>
      </c>
    </row>
    <row r="22" spans="1:7" x14ac:dyDescent="0.2">
      <c r="A22" s="8"/>
      <c r="B22" s="9"/>
    </row>
    <row r="23" spans="1:7" x14ac:dyDescent="0.2">
      <c r="A23" s="8"/>
      <c r="B23" s="9"/>
    </row>
    <row r="24" spans="1:7" x14ac:dyDescent="0.2">
      <c r="A24" s="8"/>
      <c r="B24" s="9"/>
    </row>
    <row r="25" spans="1:7" x14ac:dyDescent="0.2">
      <c r="A25" s="8"/>
      <c r="B25" s="9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E05AD-051B-4363-9198-C03C2D5486D5}">
  <dimension ref="A1:I23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0.59159722222222222</v>
      </c>
      <c r="C2" s="6">
        <v>1.796875</v>
      </c>
      <c r="D2" s="4">
        <v>814</v>
      </c>
      <c r="E2" s="4" t="s">
        <v>24</v>
      </c>
      <c r="F2" s="4" t="s">
        <v>24</v>
      </c>
      <c r="G2" s="4" t="s">
        <v>24</v>
      </c>
      <c r="I2">
        <f>AVERAGE(D2:D21)</f>
        <v>813.1</v>
      </c>
    </row>
    <row r="3" spans="1:9" x14ac:dyDescent="0.2">
      <c r="A3" s="8">
        <v>46300</v>
      </c>
      <c r="B3" s="9">
        <v>0.59160879629629626</v>
      </c>
      <c r="C3" s="6">
        <v>2.2773439999999998</v>
      </c>
      <c r="D3" s="4">
        <v>813</v>
      </c>
      <c r="E3" s="4" t="s">
        <v>24</v>
      </c>
      <c r="F3" s="4" t="s">
        <v>24</v>
      </c>
      <c r="G3" s="4" t="s">
        <v>24</v>
      </c>
      <c r="I3">
        <f>91*(1023-I2)/I2</f>
        <v>23.491452465871355</v>
      </c>
    </row>
    <row r="4" spans="1:9" x14ac:dyDescent="0.2">
      <c r="A4" s="8">
        <v>46300</v>
      </c>
      <c r="B4" s="9">
        <v>0.59160879629629626</v>
      </c>
      <c r="C4" s="6">
        <v>2.7773439999999998</v>
      </c>
      <c r="D4" s="4">
        <v>814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0.59162037037037041</v>
      </c>
      <c r="C5" s="6">
        <v>3.296875</v>
      </c>
      <c r="D5" s="4">
        <v>813</v>
      </c>
      <c r="E5" s="4" t="s">
        <v>28</v>
      </c>
      <c r="F5" s="10">
        <v>0.6</v>
      </c>
      <c r="G5" s="4" t="s">
        <v>26</v>
      </c>
    </row>
    <row r="6" spans="1:9" x14ac:dyDescent="0.2">
      <c r="A6" s="8">
        <v>46300</v>
      </c>
      <c r="B6" s="9">
        <v>0.59162037037037041</v>
      </c>
      <c r="C6" s="6">
        <v>3.8085939999999998</v>
      </c>
      <c r="D6" s="4">
        <v>814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46300</v>
      </c>
      <c r="B7" s="9">
        <v>0.59163194444444445</v>
      </c>
      <c r="C7" s="6">
        <v>4.3242190000000003</v>
      </c>
      <c r="D7" s="4">
        <v>812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46300</v>
      </c>
      <c r="B8" s="9">
        <v>0.59163194444444445</v>
      </c>
      <c r="C8" s="6">
        <v>4.8242190000000003</v>
      </c>
      <c r="D8" s="4">
        <v>812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46300</v>
      </c>
      <c r="B9" s="9">
        <v>0.59164351851851849</v>
      </c>
      <c r="C9" s="6">
        <v>5.3242190000000003</v>
      </c>
      <c r="D9" s="4">
        <v>815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46300</v>
      </c>
      <c r="B10" s="9">
        <v>0.59164351851851849</v>
      </c>
      <c r="C10" s="6">
        <v>5.8398440000000003</v>
      </c>
      <c r="D10" s="4">
        <v>813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46300</v>
      </c>
      <c r="B11" s="9">
        <v>0.59165509259259264</v>
      </c>
      <c r="C11" s="6">
        <v>6.3554690000000003</v>
      </c>
      <c r="D11" s="4">
        <v>813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46300</v>
      </c>
      <c r="B12" s="9">
        <v>0.59165509259259264</v>
      </c>
      <c r="C12" s="6">
        <v>6.8867190000000003</v>
      </c>
      <c r="D12" s="4">
        <v>814</v>
      </c>
      <c r="E12" s="4" t="s">
        <v>27</v>
      </c>
      <c r="F12" s="4" t="s">
        <v>27</v>
      </c>
      <c r="G12" s="4">
        <v>4112</v>
      </c>
    </row>
    <row r="13" spans="1:9" x14ac:dyDescent="0.2">
      <c r="A13" s="8">
        <v>46300</v>
      </c>
      <c r="B13" s="9">
        <v>0.59166666666666667</v>
      </c>
      <c r="C13" s="6">
        <v>7.4179690000000003</v>
      </c>
      <c r="D13" s="4">
        <v>812</v>
      </c>
      <c r="E13" s="4" t="s">
        <v>27</v>
      </c>
      <c r="F13" s="4" t="s">
        <v>27</v>
      </c>
      <c r="G13" s="4">
        <v>21</v>
      </c>
    </row>
    <row r="14" spans="1:9" x14ac:dyDescent="0.2">
      <c r="A14" s="8">
        <v>46300</v>
      </c>
      <c r="B14" s="9">
        <v>0.59166666666666667</v>
      </c>
      <c r="C14" s="6">
        <v>7.9492190000000003</v>
      </c>
      <c r="D14" s="4">
        <v>815</v>
      </c>
      <c r="E14" s="4" t="s">
        <v>27</v>
      </c>
      <c r="F14" s="4" t="s">
        <v>27</v>
      </c>
      <c r="G14" s="4">
        <v>4112</v>
      </c>
    </row>
    <row r="15" spans="1:9" x14ac:dyDescent="0.2">
      <c r="A15" s="8">
        <v>46300</v>
      </c>
      <c r="B15" s="9">
        <v>0.59167824074074071</v>
      </c>
      <c r="C15" s="6">
        <v>8.4648439999999994</v>
      </c>
      <c r="D15" s="4">
        <v>813</v>
      </c>
      <c r="E15" s="4" t="s">
        <v>27</v>
      </c>
      <c r="F15" s="4" t="s">
        <v>27</v>
      </c>
      <c r="G15" s="4">
        <v>4112</v>
      </c>
    </row>
    <row r="16" spans="1:9" x14ac:dyDescent="0.2">
      <c r="A16" s="8">
        <v>46300</v>
      </c>
      <c r="B16" s="9">
        <v>0.59167824074074071</v>
      </c>
      <c r="C16" s="6">
        <v>8.9960939999999994</v>
      </c>
      <c r="D16" s="4">
        <v>811</v>
      </c>
      <c r="E16" s="4" t="s">
        <v>27</v>
      </c>
      <c r="F16" s="4" t="s">
        <v>27</v>
      </c>
      <c r="G16" s="4">
        <v>21</v>
      </c>
    </row>
    <row r="17" spans="1:7" x14ac:dyDescent="0.2">
      <c r="A17" s="8">
        <v>46300</v>
      </c>
      <c r="B17" s="9">
        <v>0.59168981481481486</v>
      </c>
      <c r="C17" s="6">
        <v>9.5273439999999994</v>
      </c>
      <c r="D17" s="4">
        <v>814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46300</v>
      </c>
      <c r="B18" s="9">
        <v>0.59168981481481486</v>
      </c>
      <c r="C18" s="6">
        <v>10.04297</v>
      </c>
      <c r="D18" s="4">
        <v>814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46300</v>
      </c>
      <c r="B19" s="9">
        <v>0.5917013888888889</v>
      </c>
      <c r="C19" s="6">
        <v>10.57422</v>
      </c>
      <c r="D19" s="4">
        <v>812</v>
      </c>
      <c r="E19" s="4" t="s">
        <v>27</v>
      </c>
      <c r="F19" s="4" t="s">
        <v>27</v>
      </c>
      <c r="G19" s="4">
        <v>21</v>
      </c>
    </row>
    <row r="20" spans="1:7" x14ac:dyDescent="0.2">
      <c r="A20" s="8">
        <v>46300</v>
      </c>
      <c r="B20" s="9">
        <v>0.5917013888888889</v>
      </c>
      <c r="C20" s="6">
        <v>11.117190000000001</v>
      </c>
      <c r="D20" s="4">
        <v>813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46300</v>
      </c>
      <c r="B21" s="9">
        <v>0.59171296296296294</v>
      </c>
      <c r="C21" s="6">
        <v>11.632809999999999</v>
      </c>
      <c r="D21" s="4">
        <v>811</v>
      </c>
      <c r="E21" s="4" t="s">
        <v>27</v>
      </c>
      <c r="F21" s="4" t="s">
        <v>27</v>
      </c>
      <c r="G21" s="4">
        <v>4112</v>
      </c>
    </row>
    <row r="22" spans="1:7" x14ac:dyDescent="0.2">
      <c r="A22" s="8"/>
      <c r="B22" s="9"/>
      <c r="F22" s="10"/>
    </row>
    <row r="23" spans="1:7" x14ac:dyDescent="0.2">
      <c r="A23" s="8"/>
      <c r="B23" s="9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14E0-4183-405A-9360-4228CB604688}"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0.59199074074074076</v>
      </c>
      <c r="C2" s="6">
        <v>1.796875</v>
      </c>
      <c r="D2" s="4">
        <v>812</v>
      </c>
      <c r="E2" s="4" t="s">
        <v>24</v>
      </c>
      <c r="F2" s="4" t="s">
        <v>24</v>
      </c>
      <c r="G2" s="4" t="s">
        <v>24</v>
      </c>
      <c r="I2">
        <f>AVERAGE(D2:D21)</f>
        <v>812</v>
      </c>
    </row>
    <row r="3" spans="1:9" x14ac:dyDescent="0.2">
      <c r="A3" s="8">
        <v>46300</v>
      </c>
      <c r="B3" s="9">
        <v>0.5920023148148148</v>
      </c>
      <c r="C3" s="6">
        <v>2.28125</v>
      </c>
      <c r="D3" s="4">
        <v>812</v>
      </c>
      <c r="E3" s="4" t="s">
        <v>24</v>
      </c>
      <c r="F3" s="4" t="s">
        <v>24</v>
      </c>
      <c r="G3" s="4" t="s">
        <v>24</v>
      </c>
      <c r="I3">
        <f>91*(1023-I2)/I2</f>
        <v>23.646551724137932</v>
      </c>
    </row>
    <row r="4" spans="1:9" x14ac:dyDescent="0.2">
      <c r="A4" s="8">
        <v>46300</v>
      </c>
      <c r="B4" s="9">
        <v>0.5920023148148148</v>
      </c>
      <c r="C4" s="6">
        <v>2.78125</v>
      </c>
      <c r="D4" s="4">
        <v>813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0.59201388888888884</v>
      </c>
      <c r="C5" s="6">
        <v>3.796875</v>
      </c>
      <c r="D5" s="4">
        <v>813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46300</v>
      </c>
      <c r="B6" s="9">
        <v>0.59202546296296299</v>
      </c>
      <c r="C6" s="6">
        <v>4.3125</v>
      </c>
      <c r="D6" s="4">
        <v>814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46300</v>
      </c>
      <c r="B7" s="9">
        <v>0.59203703703703703</v>
      </c>
      <c r="C7" s="6">
        <v>5.359375</v>
      </c>
      <c r="D7" s="4">
        <v>812</v>
      </c>
      <c r="E7" s="4" t="s">
        <v>27</v>
      </c>
      <c r="F7" s="4" t="s">
        <v>27</v>
      </c>
      <c r="G7" s="4">
        <v>-237</v>
      </c>
    </row>
    <row r="8" spans="1:9" x14ac:dyDescent="0.2">
      <c r="A8" s="8">
        <v>46300</v>
      </c>
      <c r="B8" s="9">
        <v>0.59203703703703703</v>
      </c>
      <c r="C8" s="6">
        <v>5.875</v>
      </c>
      <c r="D8" s="4">
        <v>812</v>
      </c>
      <c r="E8" s="4" t="s">
        <v>27</v>
      </c>
      <c r="F8" s="4" t="s">
        <v>27</v>
      </c>
      <c r="G8" s="4">
        <v>4112</v>
      </c>
    </row>
    <row r="9" spans="1:9" x14ac:dyDescent="0.2">
      <c r="A9" s="8">
        <v>46300</v>
      </c>
      <c r="B9" s="9">
        <v>0.59204861111111107</v>
      </c>
      <c r="C9" s="6">
        <v>6.40625</v>
      </c>
      <c r="D9" s="4">
        <v>811</v>
      </c>
      <c r="E9" s="4" t="s">
        <v>27</v>
      </c>
      <c r="F9" s="4" t="s">
        <v>27</v>
      </c>
      <c r="G9" s="4">
        <v>21</v>
      </c>
    </row>
    <row r="10" spans="1:9" x14ac:dyDescent="0.2">
      <c r="A10" s="8">
        <v>46300</v>
      </c>
      <c r="B10" s="9">
        <v>0.59204861111111107</v>
      </c>
      <c r="C10" s="6">
        <v>6.9375</v>
      </c>
      <c r="D10" s="4">
        <v>812</v>
      </c>
      <c r="E10" s="4" t="s">
        <v>27</v>
      </c>
      <c r="F10" s="4" t="s">
        <v>27</v>
      </c>
      <c r="G10" s="4">
        <v>4112</v>
      </c>
    </row>
    <row r="11" spans="1:9" x14ac:dyDescent="0.2">
      <c r="A11" s="8">
        <v>46300</v>
      </c>
      <c r="B11" s="9">
        <v>0.59206018518518522</v>
      </c>
      <c r="C11" s="6">
        <v>7.46875</v>
      </c>
      <c r="D11" s="4">
        <v>812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46300</v>
      </c>
      <c r="B12" s="9">
        <v>0.59206018518518522</v>
      </c>
      <c r="C12" s="6">
        <v>8</v>
      </c>
      <c r="D12" s="4">
        <v>811</v>
      </c>
      <c r="E12" s="4" t="s">
        <v>28</v>
      </c>
      <c r="F12" s="10">
        <v>0.59</v>
      </c>
      <c r="G12" s="4" t="s">
        <v>26</v>
      </c>
    </row>
    <row r="13" spans="1:9" x14ac:dyDescent="0.2">
      <c r="A13" s="8">
        <v>46300</v>
      </c>
      <c r="B13" s="9">
        <v>0.59207175925925926</v>
      </c>
      <c r="C13" s="6">
        <v>8.5117189999999994</v>
      </c>
      <c r="D13" s="4">
        <v>811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46300</v>
      </c>
      <c r="B14" s="9">
        <v>0.59207175925925926</v>
      </c>
      <c r="C14" s="6">
        <v>9.0117189999999994</v>
      </c>
      <c r="D14" s="4">
        <v>812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46300</v>
      </c>
      <c r="B15" s="9">
        <v>0.59208333333333329</v>
      </c>
      <c r="C15" s="6">
        <v>9.5117189999999994</v>
      </c>
      <c r="D15" s="4">
        <v>814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46300</v>
      </c>
      <c r="B16" s="9">
        <v>0.59208333333333329</v>
      </c>
      <c r="C16" s="6">
        <v>10.027340000000001</v>
      </c>
      <c r="D16" s="4">
        <v>813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0.59210648148148148</v>
      </c>
      <c r="C17" s="6">
        <v>11.04297</v>
      </c>
      <c r="D17" s="4">
        <v>811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46300</v>
      </c>
      <c r="B18" s="9">
        <v>0.59210648148148148</v>
      </c>
      <c r="C18" s="6">
        <v>11.558590000000001</v>
      </c>
      <c r="D18" s="4">
        <v>812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46300</v>
      </c>
      <c r="B19" s="9">
        <v>0.59211805555555552</v>
      </c>
      <c r="C19" s="6">
        <v>12.60547</v>
      </c>
      <c r="D19" s="4">
        <v>811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46300</v>
      </c>
      <c r="B20" s="9">
        <v>0.59212962962962967</v>
      </c>
      <c r="C20" s="6">
        <v>13.121090000000001</v>
      </c>
      <c r="D20" s="4">
        <v>811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46300</v>
      </c>
      <c r="B21" s="9">
        <v>0.59212962962962967</v>
      </c>
      <c r="C21" s="6">
        <v>13.66797</v>
      </c>
      <c r="D21" s="4">
        <v>811</v>
      </c>
      <c r="E21" s="4" t="s">
        <v>28</v>
      </c>
      <c r="F21" s="10">
        <v>0.59</v>
      </c>
      <c r="G21" s="4" t="s">
        <v>26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40980-BC76-4677-8C09-C634DB5AA1A2}">
  <dimension ref="A1:I21"/>
  <sheetViews>
    <sheetView tabSelected="1"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46300</v>
      </c>
      <c r="B2" s="9">
        <v>0.60722222222222222</v>
      </c>
      <c r="C2" s="6">
        <v>1.796875</v>
      </c>
      <c r="D2" s="4">
        <v>824</v>
      </c>
      <c r="E2" s="4" t="s">
        <v>24</v>
      </c>
      <c r="F2" s="4" t="s">
        <v>24</v>
      </c>
      <c r="G2" s="4" t="s">
        <v>24</v>
      </c>
      <c r="I2">
        <f>AVERAGE(D2:D21)</f>
        <v>823.45</v>
      </c>
    </row>
    <row r="3" spans="1:9" x14ac:dyDescent="0.2">
      <c r="A3" s="8">
        <v>46300</v>
      </c>
      <c r="B3" s="9">
        <v>0.60722222222222222</v>
      </c>
      <c r="C3" s="6">
        <v>2.265625</v>
      </c>
      <c r="D3" s="4">
        <v>825</v>
      </c>
      <c r="E3" s="4" t="s">
        <v>24</v>
      </c>
      <c r="F3" s="4" t="s">
        <v>24</v>
      </c>
      <c r="G3" s="4" t="s">
        <v>24</v>
      </c>
      <c r="I3">
        <f>91*(1023-I2)/I2</f>
        <v>22.05240148157143</v>
      </c>
    </row>
    <row r="4" spans="1:9" x14ac:dyDescent="0.2">
      <c r="A4" s="8">
        <v>46300</v>
      </c>
      <c r="B4" s="9">
        <v>0.60723379629629626</v>
      </c>
      <c r="C4" s="6">
        <v>2.765625</v>
      </c>
      <c r="D4" s="4">
        <v>826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46300</v>
      </c>
      <c r="B5" s="9">
        <v>0.60723379629629626</v>
      </c>
      <c r="C5" s="6">
        <v>3.296875</v>
      </c>
      <c r="D5" s="4">
        <v>824</v>
      </c>
      <c r="E5" s="4" t="s">
        <v>30</v>
      </c>
      <c r="F5" s="10">
        <v>0.6</v>
      </c>
      <c r="G5" s="4" t="s">
        <v>26</v>
      </c>
    </row>
    <row r="6" spans="1:9" x14ac:dyDescent="0.2">
      <c r="A6" s="8">
        <v>46300</v>
      </c>
      <c r="B6" s="9">
        <v>0.60724537037037041</v>
      </c>
      <c r="C6" s="6">
        <v>3.8125</v>
      </c>
      <c r="D6" s="4">
        <v>825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46300</v>
      </c>
      <c r="B7" s="9">
        <v>0.60724537037037041</v>
      </c>
      <c r="C7" s="6">
        <v>4.3125</v>
      </c>
      <c r="D7" s="4">
        <v>823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46300</v>
      </c>
      <c r="B8" s="9">
        <v>0.60725694444444445</v>
      </c>
      <c r="C8" s="6">
        <v>4.8125</v>
      </c>
      <c r="D8" s="4">
        <v>825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46300</v>
      </c>
      <c r="B9" s="9">
        <v>0.60725694444444445</v>
      </c>
      <c r="C9" s="6">
        <v>5.3125</v>
      </c>
      <c r="D9" s="4">
        <v>823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46300</v>
      </c>
      <c r="B10" s="9">
        <v>0.60726851851851849</v>
      </c>
      <c r="C10" s="6">
        <v>5.84375</v>
      </c>
      <c r="D10" s="4">
        <v>823</v>
      </c>
      <c r="E10" s="4" t="s">
        <v>30</v>
      </c>
      <c r="F10" s="10">
        <v>0.6</v>
      </c>
      <c r="G10" s="4" t="s">
        <v>26</v>
      </c>
    </row>
    <row r="11" spans="1:9" x14ac:dyDescent="0.2">
      <c r="A11" s="8">
        <v>46300</v>
      </c>
      <c r="B11" s="9">
        <v>0.60726851851851849</v>
      </c>
      <c r="C11" s="6">
        <v>6.359375</v>
      </c>
      <c r="D11" s="4">
        <v>824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46300</v>
      </c>
      <c r="B12" s="9">
        <v>0.60728009259259264</v>
      </c>
      <c r="C12" s="6">
        <v>6.859375</v>
      </c>
      <c r="D12" s="4">
        <v>823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46300</v>
      </c>
      <c r="B13" s="9">
        <v>0.60728009259259264</v>
      </c>
      <c r="C13" s="6">
        <v>7.359375</v>
      </c>
      <c r="D13" s="4">
        <v>824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46300</v>
      </c>
      <c r="B14" s="9">
        <v>0.60729166666666667</v>
      </c>
      <c r="C14" s="6">
        <v>7.859375</v>
      </c>
      <c r="D14" s="4">
        <v>823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46300</v>
      </c>
      <c r="B15" s="9">
        <v>0.60729166666666667</v>
      </c>
      <c r="C15" s="6">
        <v>8.375</v>
      </c>
      <c r="D15" s="4">
        <v>824</v>
      </c>
      <c r="E15" s="4" t="s">
        <v>30</v>
      </c>
      <c r="F15" s="10">
        <v>0.6</v>
      </c>
      <c r="G15" s="4" t="s">
        <v>26</v>
      </c>
    </row>
    <row r="16" spans="1:9" x14ac:dyDescent="0.2">
      <c r="A16" s="8">
        <v>46300</v>
      </c>
      <c r="B16" s="9">
        <v>0.60730324074074071</v>
      </c>
      <c r="C16" s="6">
        <v>8.90625</v>
      </c>
      <c r="D16" s="4">
        <v>822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46300</v>
      </c>
      <c r="B17" s="9">
        <v>0.60730324074074071</v>
      </c>
      <c r="C17" s="6">
        <v>9.40625</v>
      </c>
      <c r="D17" s="4">
        <v>821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46300</v>
      </c>
      <c r="B18" s="9">
        <v>0.60731481481481486</v>
      </c>
      <c r="C18" s="6">
        <v>9.90625</v>
      </c>
      <c r="D18" s="4">
        <v>823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46300</v>
      </c>
      <c r="B19" s="9">
        <v>0.60731481481481486</v>
      </c>
      <c r="C19" s="6">
        <v>10.40625</v>
      </c>
      <c r="D19" s="4">
        <v>823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46300</v>
      </c>
      <c r="B20" s="9">
        <v>0.6073263888888889</v>
      </c>
      <c r="C20" s="6">
        <v>11.42188</v>
      </c>
      <c r="D20" s="4">
        <v>821</v>
      </c>
      <c r="E20" s="4" t="s">
        <v>27</v>
      </c>
      <c r="F20" s="4" t="s">
        <v>27</v>
      </c>
      <c r="G20" s="4">
        <v>-237</v>
      </c>
    </row>
    <row r="21" spans="1:7" x14ac:dyDescent="0.2">
      <c r="A21" s="8">
        <v>46300</v>
      </c>
      <c r="B21" s="9">
        <v>0.60733796296296294</v>
      </c>
      <c r="C21" s="6">
        <v>11.95313</v>
      </c>
      <c r="D21" s="4">
        <v>823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29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溫度</vt:lpstr>
      <vt:lpstr>A2</vt:lpstr>
      <vt:lpstr>A3</vt:lpstr>
      <vt:lpstr>A4</vt:lpstr>
      <vt:lpstr>B2</vt:lpstr>
      <vt:lpstr>B3</vt:lpstr>
      <vt:lpstr>B4</vt:lpstr>
      <vt:lpstr>養樂多30</vt:lpstr>
      <vt:lpstr>養樂多40</vt:lpstr>
      <vt:lpstr>養樂多50</vt:lpstr>
      <vt:lpstr>養樂多60</vt:lpstr>
      <vt:lpstr>養樂多70</vt:lpstr>
      <vt:lpstr>養樂多80</vt:lpstr>
      <vt:lpstr>養樂多空白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2026-10-05T06:54:27Z</dcterms:modified>
</cp:coreProperties>
</file>